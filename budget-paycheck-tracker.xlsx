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ycheck" sheetId="1" state="visible" r:id="rId1"/>
    <sheet name="Budget" sheetId="2" state="visible" r:id="rId2"/>
    <sheet name="Log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&quot; &quot;mmm&quot; &quot;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5A4A42"/>
      <sz val="11"/>
    </font>
    <font>
      <b val="1"/>
      <color rgb="002E4A3F"/>
      <sz val="10"/>
    </font>
    <font>
      <b val="1"/>
      <color rgb="002E4A3F"/>
      <sz val="22"/>
    </font>
    <font>
      <b val="1"/>
      <color rgb="002E2A40"/>
      <sz val="10"/>
    </font>
    <font>
      <b val="1"/>
      <color rgb="002E2A40"/>
      <sz val="22"/>
    </font>
  </fonts>
  <fills count="11">
    <fill>
      <patternFill/>
    </fill>
    <fill>
      <patternFill patternType="gray125"/>
    </fill>
    <fill>
      <patternFill patternType="solid">
        <fgColor rgb="002E5E4E"/>
        <bgColor rgb="002E5E4E"/>
      </patternFill>
    </fill>
    <fill>
      <patternFill patternType="solid">
        <fgColor rgb="00ECF3F1"/>
        <bgColor rgb="00ECF3F1"/>
      </patternFill>
    </fill>
    <fill>
      <patternFill patternType="solid">
        <fgColor rgb="00FDFBF3"/>
        <bgColor rgb="00FDFBF3"/>
      </patternFill>
    </fill>
    <fill>
      <patternFill patternType="solid">
        <fgColor rgb="00F6E5A8"/>
        <bgColor rgb="00F6E5A8"/>
      </patternFill>
    </fill>
    <fill>
      <patternFill patternType="solid">
        <fgColor rgb="00F4C0DB"/>
        <bgColor rgb="00F4C0DB"/>
      </patternFill>
    </fill>
    <fill>
      <patternFill patternType="solid">
        <fgColor rgb="00F8B6C2"/>
        <bgColor rgb="00F8B6C2"/>
      </patternFill>
    </fill>
    <fill>
      <patternFill patternType="solid">
        <fgColor rgb="007ED2B6"/>
        <bgColor rgb="007ED2B6"/>
      </patternFill>
    </fill>
    <fill>
      <patternFill patternType="solid">
        <fgColor rgb="0080D2DA"/>
        <bgColor rgb="0080D2DA"/>
      </patternFill>
    </fill>
    <fill>
      <patternFill patternType="solid">
        <fgColor rgb="00B9A4E7"/>
        <bgColor rgb="00B9A4E7"/>
      </patternFill>
    </fill>
  </fills>
  <borders count="5">
    <border>
      <left/>
      <right/>
      <top/>
      <bottom/>
      <diagonal/>
    </border>
    <border>
      <left style="thin">
        <color rgb="00E8DAD3"/>
      </left>
      <right style="thin">
        <color rgb="00E8DAD3"/>
      </right>
      <top style="thin">
        <color rgb="00E8DAD3"/>
      </top>
      <bottom style="thin">
        <color rgb="00E8DAD3"/>
      </bottom>
    </border>
    <border>
      <left/>
      <right/>
      <top style="thin">
        <color rgb="00E8DAD3"/>
      </top>
      <bottom/>
      <diagonal/>
    </border>
    <border>
      <left/>
      <right style="thin">
        <color rgb="00E8DAD3"/>
      </right>
      <top style="thin">
        <color rgb="00E8DAD3"/>
      </top>
      <bottom/>
      <diagonal/>
    </border>
    <border>
      <left/>
      <right style="thin">
        <color rgb="00E8DAD3"/>
      </right>
      <top style="thin">
        <color rgb="00E8DAD3"/>
      </top>
      <bottom style="thin">
        <color rgb="00E8DAD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4" fontId="0" fillId="3" borderId="0" pivotButton="0" quotePrefix="0" xfId="0"/>
    <xf numFmtId="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5" fontId="0" fillId="3" borderId="0" pivotButton="0" quotePrefix="0" xfId="0"/>
    <xf numFmtId="165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3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4" fontId="4" fillId="8" borderId="1" applyAlignment="1" pivotButton="0" quotePrefix="0" xfId="0">
      <alignment horizontal="center" vertical="center"/>
    </xf>
    <xf numFmtId="4" fontId="4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'Budget'!B1</f>
            </strRef>
          </tx>
          <spPr>
            <a:solidFill>
              <a:srgbClr val="7ED2B6"/>
            </a:solidFill>
            <a:ln>
              <a:prstDash val="solid"/>
            </a:ln>
          </spPr>
          <cat>
            <numRef>
              <f>'Budget'!$A$2:$A$11</f>
            </numRef>
          </cat>
          <val>
            <numRef>
              <f>'Budget'!$B$2:$B$11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'Log'!F1</f>
            </strRef>
          </tx>
          <spPr>
            <a:solidFill>
              <a:srgbClr val="7ED2B6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'Log'!$B$2:$B$27</f>
            </numRef>
          </cat>
          <val>
            <numRef>
              <f>'Log'!$F$2:$F$27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Item</t>
        </is>
      </c>
      <c r="B1" s="1" t="inlineStr">
        <is>
          <t>Amount</t>
        </is>
      </c>
    </row>
    <row r="2">
      <c r="A2" s="2" t="inlineStr">
        <is>
          <t>Gross pay (per paycheck)</t>
        </is>
      </c>
      <c r="B2" s="3" t="n">
        <v>2200</v>
      </c>
    </row>
    <row r="3">
      <c r="A3" t="inlineStr">
        <is>
          <t>Federal tax</t>
        </is>
      </c>
      <c r="B3" s="4" t="n">
        <v>264</v>
      </c>
    </row>
    <row r="4">
      <c r="A4" s="2" t="inlineStr">
        <is>
          <t>State tax</t>
        </is>
      </c>
      <c r="B4" s="3" t="n">
        <v>88</v>
      </c>
    </row>
    <row r="5">
      <c r="A5" t="inlineStr">
        <is>
          <t>FICA (Social Security + Medicare)</t>
        </is>
      </c>
      <c r="B5" s="4" t="n">
        <v>168</v>
      </c>
    </row>
    <row r="6">
      <c r="A6" s="2" t="inlineStr">
        <is>
          <t>Health insurance</t>
        </is>
      </c>
      <c r="B6" s="3" t="n">
        <v>95</v>
      </c>
    </row>
    <row r="7">
      <c r="A7" t="inlineStr">
        <is>
          <t>401(k) retirement</t>
        </is>
      </c>
      <c r="B7" s="4" t="n">
        <v>132</v>
      </c>
    </row>
    <row r="8">
      <c r="A8" s="2" t="inlineStr">
        <is>
          <t>Total deductions</t>
        </is>
      </c>
      <c r="B8" s="3">
        <f>SUM(B3:B7)</f>
        <v/>
      </c>
    </row>
    <row r="9">
      <c r="A9" t="inlineStr">
        <is>
          <t>Take-home pay (net)</t>
        </is>
      </c>
      <c r="B9" s="4">
        <f>B2-B8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5" customWidth="1" min="3" max="3"/>
  </cols>
  <sheetData>
    <row r="1">
      <c r="A1" s="1" t="inlineStr">
        <is>
          <t>Category</t>
        </is>
      </c>
      <c r="B1" s="1" t="inlineStr">
        <is>
          <t>Budgeted</t>
        </is>
      </c>
      <c r="C1" s="1" t="inlineStr">
        <is>
          <t>% of take-home</t>
        </is>
      </c>
    </row>
    <row r="2">
      <c r="A2" s="2" t="inlineStr">
        <is>
          <t>Rent / housing</t>
        </is>
      </c>
      <c r="B2" s="3" t="n">
        <v>600</v>
      </c>
      <c r="C2" s="5">
        <f>IF($B$13=0,0,B2/$B$13)</f>
        <v/>
      </c>
    </row>
    <row r="3">
      <c r="A3" t="inlineStr">
        <is>
          <t>Utilities</t>
        </is>
      </c>
      <c r="B3" s="4" t="n">
        <v>90</v>
      </c>
      <c r="C3" s="6">
        <f>IF($B$13=0,0,B3/$B$13)</f>
        <v/>
      </c>
    </row>
    <row r="4">
      <c r="A4" s="2" t="inlineStr">
        <is>
          <t>Groceries</t>
        </is>
      </c>
      <c r="B4" s="3" t="n">
        <v>220</v>
      </c>
      <c r="C4" s="5">
        <f>IF($B$13=0,0,B4/$B$13)</f>
        <v/>
      </c>
    </row>
    <row r="5">
      <c r="A5" t="inlineStr">
        <is>
          <t>Transportation / gas</t>
        </is>
      </c>
      <c r="B5" s="4" t="n">
        <v>100</v>
      </c>
      <c r="C5" s="6">
        <f>IF($B$13=0,0,B5/$B$13)</f>
        <v/>
      </c>
    </row>
    <row r="6">
      <c r="A6" s="2" t="inlineStr">
        <is>
          <t>Phone + internet</t>
        </is>
      </c>
      <c r="B6" s="3" t="n">
        <v>60</v>
      </c>
      <c r="C6" s="5">
        <f>IF($B$13=0,0,B6/$B$13)</f>
        <v/>
      </c>
    </row>
    <row r="7">
      <c r="A7" t="inlineStr">
        <is>
          <t>Subscriptions</t>
        </is>
      </c>
      <c r="B7" s="4" t="n">
        <v>30</v>
      </c>
      <c r="C7" s="6">
        <f>IF($B$13=0,0,B7/$B$13)</f>
        <v/>
      </c>
    </row>
    <row r="8">
      <c r="A8" s="2" t="inlineStr">
        <is>
          <t>Debt payment</t>
        </is>
      </c>
      <c r="B8" s="3" t="n">
        <v>100</v>
      </c>
      <c r="C8" s="5">
        <f>IF($B$13=0,0,B8/$B$13)</f>
        <v/>
      </c>
    </row>
    <row r="9">
      <c r="A9" t="inlineStr">
        <is>
          <t>Savings</t>
        </is>
      </c>
      <c r="B9" s="4" t="n">
        <v>150</v>
      </c>
      <c r="C9" s="6">
        <f>IF($B$13=0,0,B9/$B$13)</f>
        <v/>
      </c>
    </row>
    <row r="10">
      <c r="A10" s="2" t="inlineStr">
        <is>
          <t>Fun / dining out</t>
        </is>
      </c>
      <c r="B10" s="3" t="n">
        <v>60</v>
      </c>
      <c r="C10" s="5">
        <f>IF($B$13=0,0,B10/$B$13)</f>
        <v/>
      </c>
    </row>
    <row r="11">
      <c r="A11" t="inlineStr">
        <is>
          <t>Miscellaneous</t>
        </is>
      </c>
      <c r="B11" s="4" t="n">
        <v>43</v>
      </c>
      <c r="C11" s="6">
        <f>IF($B$13=0,0,B11/$B$13)</f>
        <v/>
      </c>
    </row>
    <row r="12">
      <c r="A12" s="2" t="inlineStr">
        <is>
          <t>Total budgeted</t>
        </is>
      </c>
      <c r="B12" s="3">
        <f>SUM(B2:B11)</f>
        <v/>
      </c>
      <c r="C12" s="5">
        <f>IF($B$13=0,0,B12/$B$13)</f>
        <v/>
      </c>
    </row>
    <row r="13">
      <c r="A13" t="inlineStr">
        <is>
          <t>Take-home pay (net)</t>
        </is>
      </c>
      <c r="B13" s="4">
        <f>Paycheck!B9</f>
        <v/>
      </c>
    </row>
    <row r="14">
      <c r="A14" s="2" t="inlineStr">
        <is>
          <t>Left to allocate</t>
        </is>
      </c>
      <c r="B14" s="3">
        <f>B13-B12</f>
        <v/>
      </c>
      <c r="C14" s="2" t="n"/>
    </row>
  </sheetData>
  <conditionalFormatting sqref="C2:C11">
    <cfRule type="dataBar" priority="1">
      <dataBar>
        <cfvo type="min"/>
        <cfvo type="max"/>
        <color rgb="007ED2B6"/>
      </dataBar>
    </cfRule>
  </conditionalFormatting>
  <conditionalFormatting sqref="B14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#</t>
        </is>
      </c>
      <c r="B1" s="1" t="inlineStr">
        <is>
          <t>Pay date</t>
        </is>
      </c>
      <c r="C1" s="1" t="inlineStr">
        <is>
          <t>Net pay</t>
        </is>
      </c>
      <c r="D1" s="1" t="inlineStr">
        <is>
          <t>Spent</t>
        </is>
      </c>
      <c r="E1" s="1" t="inlineStr">
        <is>
          <t>Saved</t>
        </is>
      </c>
      <c r="F1" s="1" t="inlineStr">
        <is>
          <t>Cumulative saved</t>
        </is>
      </c>
    </row>
    <row r="2">
      <c r="A2" s="2" t="n">
        <v>1</v>
      </c>
      <c r="B2" s="7">
        <f>DATE(2026,1,2)+14*(2-2)</f>
        <v/>
      </c>
      <c r="C2" s="3">
        <f>Paycheck!$B$9</f>
        <v/>
      </c>
      <c r="D2" s="3" t="n">
        <v>1303</v>
      </c>
      <c r="E2" s="3">
        <f>C2-D2</f>
        <v/>
      </c>
      <c r="F2" s="3">
        <f>SUM($E$2:E2)</f>
        <v/>
      </c>
    </row>
    <row r="3">
      <c r="A3" t="n">
        <v>2</v>
      </c>
      <c r="B3" s="8">
        <f>DATE(2026,1,2)+14*(3-2)</f>
        <v/>
      </c>
      <c r="C3" s="4">
        <f>Paycheck!$B$9</f>
        <v/>
      </c>
      <c r="D3" s="4" t="n">
        <v>1303</v>
      </c>
      <c r="E3" s="4">
        <f>C3-D3</f>
        <v/>
      </c>
      <c r="F3" s="4">
        <f>SUM($E$2:E3)</f>
        <v/>
      </c>
    </row>
    <row r="4">
      <c r="A4" s="2" t="n">
        <v>3</v>
      </c>
      <c r="B4" s="7">
        <f>DATE(2026,1,2)+14*(4-2)</f>
        <v/>
      </c>
      <c r="C4" s="3">
        <f>Paycheck!$B$9</f>
        <v/>
      </c>
      <c r="D4" s="3" t="n">
        <v>1303</v>
      </c>
      <c r="E4" s="3">
        <f>C4-D4</f>
        <v/>
      </c>
      <c r="F4" s="3">
        <f>SUM($E$2:E4)</f>
        <v/>
      </c>
    </row>
    <row r="5">
      <c r="A5" t="n">
        <v>4</v>
      </c>
      <c r="B5" s="8">
        <f>DATE(2026,1,2)+14*(5-2)</f>
        <v/>
      </c>
      <c r="C5" s="4">
        <f>Paycheck!$B$9</f>
        <v/>
      </c>
      <c r="D5" s="4" t="n">
        <v>1303</v>
      </c>
      <c r="E5" s="4">
        <f>C5-D5</f>
        <v/>
      </c>
      <c r="F5" s="4">
        <f>SUM($E$2:E5)</f>
        <v/>
      </c>
    </row>
    <row r="6">
      <c r="A6" s="2" t="n">
        <v>5</v>
      </c>
      <c r="B6" s="7">
        <f>DATE(2026,1,2)+14*(6-2)</f>
        <v/>
      </c>
      <c r="C6" s="3">
        <f>Paycheck!$B$9</f>
        <v/>
      </c>
      <c r="D6" s="3" t="n">
        <v>1303</v>
      </c>
      <c r="E6" s="3">
        <f>C6-D6</f>
        <v/>
      </c>
      <c r="F6" s="3">
        <f>SUM($E$2:E6)</f>
        <v/>
      </c>
    </row>
    <row r="7">
      <c r="A7" t="n">
        <v>6</v>
      </c>
      <c r="B7" s="8">
        <f>DATE(2026,1,2)+14*(7-2)</f>
        <v/>
      </c>
      <c r="C7" s="4">
        <f>Paycheck!$B$9</f>
        <v/>
      </c>
      <c r="D7" s="4" t="n">
        <v>1303</v>
      </c>
      <c r="E7" s="4">
        <f>C7-D7</f>
        <v/>
      </c>
      <c r="F7" s="4">
        <f>SUM($E$2:E7)</f>
        <v/>
      </c>
    </row>
    <row r="8">
      <c r="A8" s="2" t="n">
        <v>7</v>
      </c>
      <c r="B8" s="7">
        <f>DATE(2026,1,2)+14*(8-2)</f>
        <v/>
      </c>
      <c r="C8" s="3">
        <f>Paycheck!$B$9</f>
        <v/>
      </c>
      <c r="D8" s="3" t="n">
        <v>1303</v>
      </c>
      <c r="E8" s="3">
        <f>C8-D8</f>
        <v/>
      </c>
      <c r="F8" s="3">
        <f>SUM($E$2:E8)</f>
        <v/>
      </c>
    </row>
    <row r="9">
      <c r="A9" t="n">
        <v>8</v>
      </c>
      <c r="B9" s="8">
        <f>DATE(2026,1,2)+14*(9-2)</f>
        <v/>
      </c>
      <c r="C9" s="4">
        <f>Paycheck!$B$9</f>
        <v/>
      </c>
      <c r="D9" s="4" t="n">
        <v>1303</v>
      </c>
      <c r="E9" s="4">
        <f>C9-D9</f>
        <v/>
      </c>
      <c r="F9" s="4">
        <f>SUM($E$2:E9)</f>
        <v/>
      </c>
    </row>
    <row r="10">
      <c r="A10" s="2" t="n">
        <v>9</v>
      </c>
      <c r="B10" s="7">
        <f>DATE(2026,1,2)+14*(10-2)</f>
        <v/>
      </c>
      <c r="C10" s="3">
        <f>Paycheck!$B$9</f>
        <v/>
      </c>
      <c r="D10" s="3" t="n">
        <v>1303</v>
      </c>
      <c r="E10" s="3">
        <f>C10-D10</f>
        <v/>
      </c>
      <c r="F10" s="3">
        <f>SUM($E$2:E10)</f>
        <v/>
      </c>
    </row>
    <row r="11">
      <c r="A11" t="n">
        <v>10</v>
      </c>
      <c r="B11" s="8">
        <f>DATE(2026,1,2)+14*(11-2)</f>
        <v/>
      </c>
      <c r="C11" s="4">
        <f>Paycheck!$B$9</f>
        <v/>
      </c>
      <c r="D11" s="4" t="n">
        <v>1303</v>
      </c>
      <c r="E11" s="4">
        <f>C11-D11</f>
        <v/>
      </c>
      <c r="F11" s="4">
        <f>SUM($E$2:E11)</f>
        <v/>
      </c>
    </row>
    <row r="12">
      <c r="A12" s="2" t="n">
        <v>11</v>
      </c>
      <c r="B12" s="7">
        <f>DATE(2026,1,2)+14*(12-2)</f>
        <v/>
      </c>
      <c r="C12" s="3">
        <f>Paycheck!$B$9</f>
        <v/>
      </c>
      <c r="D12" s="3" t="n">
        <v>1303</v>
      </c>
      <c r="E12" s="3">
        <f>C12-D12</f>
        <v/>
      </c>
      <c r="F12" s="3">
        <f>SUM($E$2:E12)</f>
        <v/>
      </c>
    </row>
    <row r="13">
      <c r="A13" t="n">
        <v>12</v>
      </c>
      <c r="B13" s="8">
        <f>DATE(2026,1,2)+14*(13-2)</f>
        <v/>
      </c>
      <c r="C13" s="4">
        <f>Paycheck!$B$9</f>
        <v/>
      </c>
      <c r="D13" s="4" t="n">
        <v>1303</v>
      </c>
      <c r="E13" s="4">
        <f>C13-D13</f>
        <v/>
      </c>
      <c r="F13" s="4">
        <f>SUM($E$2:E13)</f>
        <v/>
      </c>
    </row>
    <row r="14">
      <c r="A14" s="2" t="n">
        <v>13</v>
      </c>
      <c r="B14" s="7">
        <f>DATE(2026,1,2)+14*(14-2)</f>
        <v/>
      </c>
      <c r="C14" s="3">
        <f>Paycheck!$B$9</f>
        <v/>
      </c>
      <c r="D14" s="3" t="n">
        <v>1303</v>
      </c>
      <c r="E14" s="3">
        <f>C14-D14</f>
        <v/>
      </c>
      <c r="F14" s="3">
        <f>SUM($E$2:E14)</f>
        <v/>
      </c>
    </row>
    <row r="15">
      <c r="A15" t="n">
        <v>14</v>
      </c>
      <c r="B15" s="8">
        <f>DATE(2026,1,2)+14*(15-2)</f>
        <v/>
      </c>
      <c r="C15" s="4">
        <f>Paycheck!$B$9</f>
        <v/>
      </c>
      <c r="D15" s="4" t="n">
        <v>1303</v>
      </c>
      <c r="E15" s="4">
        <f>C15-D15</f>
        <v/>
      </c>
      <c r="F15" s="4">
        <f>SUM($E$2:E15)</f>
        <v/>
      </c>
    </row>
    <row r="16">
      <c r="A16" s="2" t="n">
        <v>15</v>
      </c>
      <c r="B16" s="7">
        <f>DATE(2026,1,2)+14*(16-2)</f>
        <v/>
      </c>
      <c r="C16" s="3">
        <f>Paycheck!$B$9</f>
        <v/>
      </c>
      <c r="D16" s="3" t="n">
        <v>1303</v>
      </c>
      <c r="E16" s="3">
        <f>C16-D16</f>
        <v/>
      </c>
      <c r="F16" s="3">
        <f>SUM($E$2:E16)</f>
        <v/>
      </c>
    </row>
    <row r="17">
      <c r="A17" t="n">
        <v>16</v>
      </c>
      <c r="B17" s="8">
        <f>DATE(2026,1,2)+14*(17-2)</f>
        <v/>
      </c>
      <c r="C17" s="4">
        <f>Paycheck!$B$9</f>
        <v/>
      </c>
      <c r="D17" s="4" t="n">
        <v>1303</v>
      </c>
      <c r="E17" s="4">
        <f>C17-D17</f>
        <v/>
      </c>
      <c r="F17" s="4">
        <f>SUM($E$2:E17)</f>
        <v/>
      </c>
    </row>
    <row r="18">
      <c r="A18" s="2" t="n">
        <v>17</v>
      </c>
      <c r="B18" s="7">
        <f>DATE(2026,1,2)+14*(18-2)</f>
        <v/>
      </c>
      <c r="C18" s="3">
        <f>Paycheck!$B$9</f>
        <v/>
      </c>
      <c r="D18" s="3" t="n">
        <v>1303</v>
      </c>
      <c r="E18" s="3">
        <f>C18-D18</f>
        <v/>
      </c>
      <c r="F18" s="3">
        <f>SUM($E$2:E18)</f>
        <v/>
      </c>
    </row>
    <row r="19">
      <c r="A19" t="n">
        <v>18</v>
      </c>
      <c r="B19" s="8">
        <f>DATE(2026,1,2)+14*(19-2)</f>
        <v/>
      </c>
      <c r="C19" s="4">
        <f>Paycheck!$B$9</f>
        <v/>
      </c>
      <c r="D19" s="4" t="n">
        <v>1303</v>
      </c>
      <c r="E19" s="4">
        <f>C19-D19</f>
        <v/>
      </c>
      <c r="F19" s="4">
        <f>SUM($E$2:E19)</f>
        <v/>
      </c>
    </row>
    <row r="20">
      <c r="A20" s="2" t="n">
        <v>19</v>
      </c>
      <c r="B20" s="7">
        <f>DATE(2026,1,2)+14*(20-2)</f>
        <v/>
      </c>
      <c r="C20" s="3">
        <f>Paycheck!$B$9</f>
        <v/>
      </c>
      <c r="D20" s="3" t="n">
        <v>1303</v>
      </c>
      <c r="E20" s="3">
        <f>C20-D20</f>
        <v/>
      </c>
      <c r="F20" s="3">
        <f>SUM($E$2:E20)</f>
        <v/>
      </c>
    </row>
    <row r="21">
      <c r="A21" t="n">
        <v>20</v>
      </c>
      <c r="B21" s="8">
        <f>DATE(2026,1,2)+14*(21-2)</f>
        <v/>
      </c>
      <c r="C21" s="4">
        <f>Paycheck!$B$9</f>
        <v/>
      </c>
      <c r="D21" s="4" t="n">
        <v>1303</v>
      </c>
      <c r="E21" s="4">
        <f>C21-D21</f>
        <v/>
      </c>
      <c r="F21" s="4">
        <f>SUM($E$2:E21)</f>
        <v/>
      </c>
    </row>
    <row r="22">
      <c r="A22" s="2" t="n">
        <v>21</v>
      </c>
      <c r="B22" s="7">
        <f>DATE(2026,1,2)+14*(22-2)</f>
        <v/>
      </c>
      <c r="C22" s="3">
        <f>Paycheck!$B$9</f>
        <v/>
      </c>
      <c r="D22" s="3" t="n">
        <v>1303</v>
      </c>
      <c r="E22" s="3">
        <f>C22-D22</f>
        <v/>
      </c>
      <c r="F22" s="3">
        <f>SUM($E$2:E22)</f>
        <v/>
      </c>
    </row>
    <row r="23">
      <c r="A23" t="n">
        <v>22</v>
      </c>
      <c r="B23" s="8">
        <f>DATE(2026,1,2)+14*(23-2)</f>
        <v/>
      </c>
      <c r="C23" s="4">
        <f>Paycheck!$B$9</f>
        <v/>
      </c>
      <c r="D23" s="4" t="n">
        <v>1303</v>
      </c>
      <c r="E23" s="4">
        <f>C23-D23</f>
        <v/>
      </c>
      <c r="F23" s="4">
        <f>SUM($E$2:E23)</f>
        <v/>
      </c>
    </row>
    <row r="24">
      <c r="A24" s="2" t="n">
        <v>23</v>
      </c>
      <c r="B24" s="7">
        <f>DATE(2026,1,2)+14*(24-2)</f>
        <v/>
      </c>
      <c r="C24" s="3">
        <f>Paycheck!$B$9</f>
        <v/>
      </c>
      <c r="D24" s="3" t="n">
        <v>1303</v>
      </c>
      <c r="E24" s="3">
        <f>C24-D24</f>
        <v/>
      </c>
      <c r="F24" s="3">
        <f>SUM($E$2:E24)</f>
        <v/>
      </c>
    </row>
    <row r="25">
      <c r="A25" t="n">
        <v>24</v>
      </c>
      <c r="B25" s="8">
        <f>DATE(2026,1,2)+14*(25-2)</f>
        <v/>
      </c>
      <c r="C25" s="4">
        <f>Paycheck!$B$9</f>
        <v/>
      </c>
      <c r="D25" s="4" t="n">
        <v>1303</v>
      </c>
      <c r="E25" s="4">
        <f>C25-D25</f>
        <v/>
      </c>
      <c r="F25" s="4">
        <f>SUM($E$2:E25)</f>
        <v/>
      </c>
    </row>
    <row r="26">
      <c r="A26" s="2" t="n">
        <v>25</v>
      </c>
      <c r="B26" s="7">
        <f>DATE(2026,1,2)+14*(26-2)</f>
        <v/>
      </c>
      <c r="C26" s="3">
        <f>Paycheck!$B$9</f>
        <v/>
      </c>
      <c r="D26" s="3" t="n">
        <v>1303</v>
      </c>
      <c r="E26" s="3">
        <f>C26-D26</f>
        <v/>
      </c>
      <c r="F26" s="3">
        <f>SUM($E$2:E26)</f>
        <v/>
      </c>
    </row>
    <row r="27">
      <c r="A27" t="n">
        <v>26</v>
      </c>
      <c r="B27" s="8">
        <f>DATE(2026,1,2)+14*(27-2)</f>
        <v/>
      </c>
      <c r="C27" s="4">
        <f>Paycheck!$B$9</f>
        <v/>
      </c>
      <c r="D27" s="4" t="n">
        <v>1303</v>
      </c>
      <c r="E27" s="4">
        <f>C27-D27</f>
        <v/>
      </c>
      <c r="F27" s="4">
        <f>SUM($E$2:E27)</f>
        <v/>
      </c>
    </row>
  </sheetData>
  <conditionalFormatting sqref="F2:F27">
    <cfRule type="colorScale" priority="1">
      <colorScale>
        <cfvo type="min"/>
        <cfvo type="percentile" val="50"/>
        <cfvo type="max"/>
        <color rgb="00FDFBF3"/>
        <color rgb="0099E4EB"/>
        <color rgb="007ED2B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8" customHeight="1"/>
  <cols>
    <col width="3" customWidth="1" min="1" max="1"/>
    <col width="3.1" customWidth="1" min="2" max="2"/>
    <col width="18" customWidth="1" min="3" max="3"/>
    <col width="3.1" customWidth="1" min="4" max="4"/>
    <col width="18" customWidth="1" min="5" max="5"/>
    <col width="3.1" customWidth="1" min="6" max="6"/>
    <col width="18" customWidth="1" min="7" max="7"/>
    <col width="3" customWidth="1" min="8" max="8"/>
  </cols>
  <sheetData>
    <row r="2">
      <c r="B2" s="9" t="inlineStr">
        <is>
          <t>P A Y C H E C K   O V E R V I E W</t>
        </is>
      </c>
    </row>
    <row r="3">
      <c r="B3" s="10" t="n"/>
      <c r="C3" s="10" t="n"/>
      <c r="D3" s="10" t="n"/>
      <c r="E3" s="10" t="n"/>
      <c r="F3" s="10" t="n"/>
      <c r="G3" s="10" t="n"/>
    </row>
    <row r="4">
      <c r="B4" s="11" t="inlineStr">
        <is>
          <t>Take-home / paycheck</t>
        </is>
      </c>
      <c r="C4" s="12" t="n"/>
      <c r="D4" s="13" t="inlineStr">
        <is>
          <t>Saved per year</t>
        </is>
      </c>
      <c r="E4" s="12" t="n"/>
      <c r="F4" s="14" t="inlineStr">
        <is>
          <t>Savings rate</t>
        </is>
      </c>
      <c r="G4" s="12" t="n"/>
    </row>
    <row r="5">
      <c r="B5" s="15">
        <f>Paycheck!B9</f>
        <v/>
      </c>
      <c r="C5" s="12" t="n"/>
      <c r="D5" s="16">
        <f>SUM(Log!E2:E27)</f>
        <v/>
      </c>
      <c r="E5" s="12" t="n"/>
      <c r="F5" s="17">
        <f>IF(SUM(Log!C2:C27)=0,0,SUM(Log!E2:E27)/SUM(Log!C2:C27))</f>
        <v/>
      </c>
      <c r="G5" s="12" t="n"/>
    </row>
    <row r="6">
      <c r="B6" s="10" t="n"/>
      <c r="C6" s="10" t="n"/>
      <c r="D6" s="10" t="n"/>
      <c r="E6" s="10" t="n"/>
      <c r="F6" s="10" t="n"/>
      <c r="G6" s="10" t="n"/>
    </row>
    <row r="8">
      <c r="B8" s="18" t="inlineStr">
        <is>
          <t>B U D G E T   B Y   C A T E G O R Y</t>
        </is>
      </c>
    </row>
    <row r="23">
      <c r="B23" s="19" t="inlineStr">
        <is>
          <t>C U M U L A T I V E   S A V I N G S   ·   26   P A Y C H E C K S</t>
        </is>
      </c>
    </row>
  </sheetData>
  <mergeCells count="9">
    <mergeCell ref="B2:G2"/>
    <mergeCell ref="F4:G4"/>
    <mergeCell ref="B5:C5"/>
    <mergeCell ref="B23:G23"/>
    <mergeCell ref="D5:E5"/>
    <mergeCell ref="F5:G5"/>
    <mergeCell ref="B8:G8"/>
    <mergeCell ref="D4:E4"/>
    <mergeCell ref="B4:C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2026-06-25T08:34:55Z</dcterms:created>
  <dcterms:modified xsi:type="dcterms:W3CDTF">2026-06-25T08:34:55Z</dcterms:modified>
</cp:coreProperties>
</file>