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ycheck" sheetId="1" state="visible" r:id="rId1"/>
    <sheet name="Budget" sheetId="2" state="visible" r:id="rId2"/>
    <sheet name="Yea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(#,##0.00)"/>
    <numFmt numFmtId="165" formatCode="0.0%"/>
    <numFmt numFmtId="166" formatCode="mm/dd/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2E5E4E"/>
      </patternFill>
    </fill>
    <fill>
      <patternFill patternType="solid">
        <fgColor rgb="00FFF4CC"/>
      </patternFill>
    </fill>
    <fill>
      <patternFill patternType="solid">
        <fgColor rgb="00E7F0EC"/>
      </patternFill>
    </fill>
  </fills>
  <borders count="2">
    <border>
      <left/>
      <right/>
      <top/>
      <bottom/>
      <diagonal/>
    </border>
    <border>
      <left style="thin">
        <color rgb="00C7D3CC"/>
      </left>
      <right style="thin">
        <color rgb="00C7D3CC"/>
      </right>
      <top style="thin">
        <color rgb="00C7D3CC"/>
      </top>
      <bottom style="thin">
        <color rgb="00C7D3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164" fontId="0" fillId="3" borderId="1" applyAlignment="1" pivotButton="0" quotePrefix="0" xfId="0">
      <alignment horizontal="right"/>
    </xf>
    <xf numFmtId="0" fontId="3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4" fillId="4" borderId="1" pivotButton="0" quotePrefix="0" xfId="0"/>
    <xf numFmtId="164" fontId="4" fillId="4" borderId="1" applyAlignment="1" pivotButton="0" quotePrefix="0" xfId="0">
      <alignment horizontal="right"/>
    </xf>
    <xf numFmtId="0" fontId="3" fillId="2" borderId="1" pivotButton="0" quotePrefix="0" xfId="0"/>
    <xf numFmtId="164" fontId="3" fillId="2" borderId="1" applyAlignment="1" pivotButton="0" quotePrefix="0" xfId="0">
      <alignment horizontal="right"/>
    </xf>
    <xf numFmtId="0" fontId="4" fillId="0" borderId="0" pivotButton="0" quotePrefix="0" xfId="0"/>
    <xf numFmtId="165" fontId="0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/>
    </xf>
    <xf numFmtId="0" fontId="0" fillId="0" borderId="1" pivotButton="0" quotePrefix="0" xfId="0"/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</cols>
  <sheetData>
    <row r="2" ht="28" customHeight="1">
      <c r="B2" s="1" t="inlineStr">
        <is>
          <t>Single Paycheck Breakdown</t>
        </is>
      </c>
    </row>
    <row r="4">
      <c r="B4" s="2" t="inlineStr">
        <is>
          <t>Gross pay (per paycheck)</t>
        </is>
      </c>
      <c r="C4" s="3" t="n">
        <v>2200</v>
      </c>
    </row>
    <row r="6">
      <c r="B6" s="4" t="inlineStr">
        <is>
          <t>Deductions</t>
        </is>
      </c>
      <c r="C6" s="4" t="inlineStr">
        <is>
          <t>Amount</t>
        </is>
      </c>
    </row>
    <row r="7">
      <c r="B7" s="5" t="inlineStr">
        <is>
          <t>Federal tax</t>
        </is>
      </c>
      <c r="C7" s="3" t="n">
        <v>264</v>
      </c>
    </row>
    <row r="8">
      <c r="B8" s="5" t="inlineStr">
        <is>
          <t>State tax</t>
        </is>
      </c>
      <c r="C8" s="3" t="n">
        <v>88</v>
      </c>
    </row>
    <row r="9">
      <c r="B9" s="5" t="inlineStr">
        <is>
          <t>Social Security + Medicare</t>
        </is>
      </c>
      <c r="C9" s="3" t="n">
        <v>168</v>
      </c>
    </row>
    <row r="10">
      <c r="B10" s="5" t="inlineStr">
        <is>
          <t>Health insurance</t>
        </is>
      </c>
      <c r="C10" s="3" t="n">
        <v>95</v>
      </c>
    </row>
    <row r="11">
      <c r="B11" s="5" t="inlineStr">
        <is>
          <t>401(k) retirement</t>
        </is>
      </c>
      <c r="C11" s="3" t="n">
        <v>132</v>
      </c>
    </row>
    <row r="12">
      <c r="B12" s="6" t="inlineStr">
        <is>
          <t>Total deductions</t>
        </is>
      </c>
      <c r="C12" s="7">
        <f>SUM(C7:C11)</f>
        <v/>
      </c>
    </row>
    <row r="14">
      <c r="B14" s="8" t="inlineStr">
        <is>
          <t>Take-home pay (net)</t>
        </is>
      </c>
      <c r="C14" s="9">
        <f>C4-C12</f>
        <v/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6" customWidth="1" min="3" max="3"/>
    <col width="12" customWidth="1" min="4" max="4"/>
  </cols>
  <sheetData>
    <row r="2" ht="28" customHeight="1">
      <c r="B2" s="1" t="inlineStr">
        <is>
          <t>Per-Paycheck Budget</t>
        </is>
      </c>
    </row>
    <row r="4">
      <c r="B4" s="10" t="inlineStr">
        <is>
          <t>Take-home pay this paycheck</t>
        </is>
      </c>
      <c r="C4" s="7">
        <f>Paycheck!C14</f>
        <v/>
      </c>
    </row>
    <row r="6">
      <c r="B6" s="4" t="inlineStr">
        <is>
          <t>Category</t>
        </is>
      </c>
      <c r="C6" s="4" t="inlineStr">
        <is>
          <t>Budgeted</t>
        </is>
      </c>
      <c r="D6" s="4" t="inlineStr">
        <is>
          <t>% of pay</t>
        </is>
      </c>
    </row>
    <row r="7">
      <c r="B7" s="5" t="inlineStr">
        <is>
          <t>Rent / housing</t>
        </is>
      </c>
      <c r="C7" s="3" t="n">
        <v>700</v>
      </c>
      <c r="D7" s="11">
        <f>IF($C$4=0,0,C7/$C$4)</f>
        <v/>
      </c>
    </row>
    <row r="8">
      <c r="B8" s="5" t="inlineStr">
        <is>
          <t>Utilities</t>
        </is>
      </c>
      <c r="C8" s="3" t="n">
        <v>90</v>
      </c>
      <c r="D8" s="11">
        <f>IF($C$4=0,0,C8/$C$4)</f>
        <v/>
      </c>
    </row>
    <row r="9">
      <c r="B9" s="5" t="inlineStr">
        <is>
          <t>Groceries</t>
        </is>
      </c>
      <c r="C9" s="3" t="n">
        <v>250</v>
      </c>
      <c r="D9" s="11">
        <f>IF($C$4=0,0,C9/$C$4)</f>
        <v/>
      </c>
    </row>
    <row r="10">
      <c r="B10" s="5" t="inlineStr">
        <is>
          <t>Transportation / gas</t>
        </is>
      </c>
      <c r="C10" s="3" t="n">
        <v>120</v>
      </c>
      <c r="D10" s="11">
        <f>IF($C$4=0,0,C10/$C$4)</f>
        <v/>
      </c>
    </row>
    <row r="11">
      <c r="B11" s="5" t="inlineStr">
        <is>
          <t>Phone + internet</t>
        </is>
      </c>
      <c r="C11" s="3" t="n">
        <v>60</v>
      </c>
      <c r="D11" s="11">
        <f>IF($C$4=0,0,C11/$C$4)</f>
        <v/>
      </c>
    </row>
    <row r="12">
      <c r="B12" s="5" t="inlineStr">
        <is>
          <t>Subscriptions</t>
        </is>
      </c>
      <c r="C12" s="3" t="n">
        <v>35</v>
      </c>
      <c r="D12" s="11">
        <f>IF($C$4=0,0,C12/$C$4)</f>
        <v/>
      </c>
    </row>
    <row r="13">
      <c r="B13" s="5" t="inlineStr">
        <is>
          <t>Debt payment</t>
        </is>
      </c>
      <c r="C13" s="3" t="n">
        <v>150</v>
      </c>
      <c r="D13" s="11">
        <f>IF($C$4=0,0,C13/$C$4)</f>
        <v/>
      </c>
    </row>
    <row r="14">
      <c r="B14" s="5" t="inlineStr">
        <is>
          <t>Savings</t>
        </is>
      </c>
      <c r="C14" s="3" t="n">
        <v>200</v>
      </c>
      <c r="D14" s="11">
        <f>IF($C$4=0,0,C14/$C$4)</f>
        <v/>
      </c>
    </row>
    <row r="15">
      <c r="B15" s="5" t="inlineStr">
        <is>
          <t>Fun / dining out</t>
        </is>
      </c>
      <c r="C15" s="3" t="n">
        <v>100</v>
      </c>
      <c r="D15" s="11">
        <f>IF($C$4=0,0,C15/$C$4)</f>
        <v/>
      </c>
    </row>
    <row r="16">
      <c r="B16" s="5" t="inlineStr">
        <is>
          <t>Miscellaneous</t>
        </is>
      </c>
      <c r="C16" s="3" t="n">
        <v>50</v>
      </c>
      <c r="D16" s="11">
        <f>IF($C$4=0,0,C16/$C$4)</f>
        <v/>
      </c>
    </row>
    <row r="17">
      <c r="B17" s="6" t="inlineStr">
        <is>
          <t>Total budgeted</t>
        </is>
      </c>
      <c r="C17" s="7">
        <f>SUM(C7:C16)</f>
        <v/>
      </c>
      <c r="D17" s="12">
        <f>IF($C$4=0,0,C17/$C$4)</f>
        <v/>
      </c>
    </row>
    <row r="19">
      <c r="B19" s="8" t="inlineStr">
        <is>
          <t>Left over (unbudgeted)</t>
        </is>
      </c>
      <c r="C19" s="9">
        <f>C4-C17</f>
        <v/>
      </c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6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2" ht="28" customHeight="1">
      <c r="B2" s="1" t="inlineStr">
        <is>
          <t>Bi-Weekly Paycheck Log (26 per year)</t>
        </is>
      </c>
    </row>
    <row r="4">
      <c r="B4" s="4" t="inlineStr">
        <is>
          <t>#</t>
        </is>
      </c>
      <c r="C4" s="4" t="inlineStr">
        <is>
          <t>Pay date</t>
        </is>
      </c>
      <c r="D4" s="4" t="inlineStr">
        <is>
          <t>Net pay</t>
        </is>
      </c>
      <c r="E4" s="4" t="inlineStr">
        <is>
          <t>Spent</t>
        </is>
      </c>
      <c r="F4" s="4" t="inlineStr">
        <is>
          <t>Saved</t>
        </is>
      </c>
      <c r="G4" s="4" t="inlineStr">
        <is>
          <t>Cumulative saved</t>
        </is>
      </c>
    </row>
    <row r="5">
      <c r="B5" s="13" t="n">
        <v>1</v>
      </c>
      <c r="C5" s="14" t="n"/>
      <c r="D5" s="3">
        <f>Paycheck!C14</f>
        <v/>
      </c>
      <c r="E5" s="3" t="n"/>
      <c r="F5" s="15">
        <f>D5-E5</f>
        <v/>
      </c>
      <c r="G5" s="7">
        <f>F5</f>
        <v/>
      </c>
    </row>
    <row r="6">
      <c r="B6" s="13" t="n">
        <v>2</v>
      </c>
      <c r="C6" s="14" t="n"/>
      <c r="D6" s="3">
        <f>Paycheck!C14</f>
        <v/>
      </c>
      <c r="E6" s="3" t="n"/>
      <c r="F6" s="15">
        <f>D6-E6</f>
        <v/>
      </c>
      <c r="G6" s="7">
        <f>G5+F6</f>
        <v/>
      </c>
    </row>
    <row r="7">
      <c r="B7" s="13" t="n">
        <v>3</v>
      </c>
      <c r="C7" s="14" t="n"/>
      <c r="D7" s="3">
        <f>Paycheck!C14</f>
        <v/>
      </c>
      <c r="E7" s="3" t="n"/>
      <c r="F7" s="15">
        <f>D7-E7</f>
        <v/>
      </c>
      <c r="G7" s="7">
        <f>G6+F7</f>
        <v/>
      </c>
    </row>
    <row r="8">
      <c r="B8" s="13" t="n">
        <v>4</v>
      </c>
      <c r="C8" s="14" t="n"/>
      <c r="D8" s="3">
        <f>Paycheck!C14</f>
        <v/>
      </c>
      <c r="E8" s="3" t="n"/>
      <c r="F8" s="15">
        <f>D8-E8</f>
        <v/>
      </c>
      <c r="G8" s="7">
        <f>G7+F8</f>
        <v/>
      </c>
    </row>
    <row r="9">
      <c r="B9" s="13" t="n">
        <v>5</v>
      </c>
      <c r="C9" s="14" t="n"/>
      <c r="D9" s="3">
        <f>Paycheck!C14</f>
        <v/>
      </c>
      <c r="E9" s="3" t="n"/>
      <c r="F9" s="15">
        <f>D9-E9</f>
        <v/>
      </c>
      <c r="G9" s="7">
        <f>G8+F9</f>
        <v/>
      </c>
    </row>
    <row r="10">
      <c r="B10" s="13" t="n">
        <v>6</v>
      </c>
      <c r="C10" s="14" t="n"/>
      <c r="D10" s="3">
        <f>Paycheck!C14</f>
        <v/>
      </c>
      <c r="E10" s="3" t="n"/>
      <c r="F10" s="15">
        <f>D10-E10</f>
        <v/>
      </c>
      <c r="G10" s="7">
        <f>G9+F10</f>
        <v/>
      </c>
    </row>
    <row r="11">
      <c r="B11" s="13" t="n">
        <v>7</v>
      </c>
      <c r="C11" s="14" t="n"/>
      <c r="D11" s="3">
        <f>Paycheck!C14</f>
        <v/>
      </c>
      <c r="E11" s="3" t="n"/>
      <c r="F11" s="15">
        <f>D11-E11</f>
        <v/>
      </c>
      <c r="G11" s="7">
        <f>G10+F11</f>
        <v/>
      </c>
    </row>
    <row r="12">
      <c r="B12" s="13" t="n">
        <v>8</v>
      </c>
      <c r="C12" s="14" t="n"/>
      <c r="D12" s="3">
        <f>Paycheck!C14</f>
        <v/>
      </c>
      <c r="E12" s="3" t="n"/>
      <c r="F12" s="15">
        <f>D12-E12</f>
        <v/>
      </c>
      <c r="G12" s="7">
        <f>G11+F12</f>
        <v/>
      </c>
    </row>
    <row r="13">
      <c r="B13" s="13" t="n">
        <v>9</v>
      </c>
      <c r="C13" s="14" t="n"/>
      <c r="D13" s="3">
        <f>Paycheck!C14</f>
        <v/>
      </c>
      <c r="E13" s="3" t="n"/>
      <c r="F13" s="15">
        <f>D13-E13</f>
        <v/>
      </c>
      <c r="G13" s="7">
        <f>G12+F13</f>
        <v/>
      </c>
    </row>
    <row r="14">
      <c r="B14" s="13" t="n">
        <v>10</v>
      </c>
      <c r="C14" s="14" t="n"/>
      <c r="D14" s="3">
        <f>Paycheck!C14</f>
        <v/>
      </c>
      <c r="E14" s="3" t="n"/>
      <c r="F14" s="15">
        <f>D14-E14</f>
        <v/>
      </c>
      <c r="G14" s="7">
        <f>G13+F14</f>
        <v/>
      </c>
    </row>
    <row r="15">
      <c r="B15" s="13" t="n">
        <v>11</v>
      </c>
      <c r="C15" s="14" t="n"/>
      <c r="D15" s="3">
        <f>Paycheck!C14</f>
        <v/>
      </c>
      <c r="E15" s="3" t="n"/>
      <c r="F15" s="15">
        <f>D15-E15</f>
        <v/>
      </c>
      <c r="G15" s="7">
        <f>G14+F15</f>
        <v/>
      </c>
    </row>
    <row r="16">
      <c r="B16" s="13" t="n">
        <v>12</v>
      </c>
      <c r="C16" s="14" t="n"/>
      <c r="D16" s="3">
        <f>Paycheck!C14</f>
        <v/>
      </c>
      <c r="E16" s="3" t="n"/>
      <c r="F16" s="15">
        <f>D16-E16</f>
        <v/>
      </c>
      <c r="G16" s="7">
        <f>G15+F16</f>
        <v/>
      </c>
    </row>
    <row r="17">
      <c r="B17" s="13" t="n">
        <v>13</v>
      </c>
      <c r="C17" s="14" t="n"/>
      <c r="D17" s="3">
        <f>Paycheck!C14</f>
        <v/>
      </c>
      <c r="E17" s="3" t="n"/>
      <c r="F17" s="15">
        <f>D17-E17</f>
        <v/>
      </c>
      <c r="G17" s="7">
        <f>G16+F17</f>
        <v/>
      </c>
    </row>
    <row r="18">
      <c r="B18" s="13" t="n">
        <v>14</v>
      </c>
      <c r="C18" s="14" t="n"/>
      <c r="D18" s="3">
        <f>Paycheck!C14</f>
        <v/>
      </c>
      <c r="E18" s="3" t="n"/>
      <c r="F18" s="15">
        <f>D18-E18</f>
        <v/>
      </c>
      <c r="G18" s="7">
        <f>G17+F18</f>
        <v/>
      </c>
    </row>
    <row r="19">
      <c r="B19" s="13" t="n">
        <v>15</v>
      </c>
      <c r="C19" s="14" t="n"/>
      <c r="D19" s="3">
        <f>Paycheck!C14</f>
        <v/>
      </c>
      <c r="E19" s="3" t="n"/>
      <c r="F19" s="15">
        <f>D19-E19</f>
        <v/>
      </c>
      <c r="G19" s="7">
        <f>G18+F19</f>
        <v/>
      </c>
    </row>
    <row r="20">
      <c r="B20" s="13" t="n">
        <v>16</v>
      </c>
      <c r="C20" s="14" t="n"/>
      <c r="D20" s="3">
        <f>Paycheck!C14</f>
        <v/>
      </c>
      <c r="E20" s="3" t="n"/>
      <c r="F20" s="15">
        <f>D20-E20</f>
        <v/>
      </c>
      <c r="G20" s="7">
        <f>G19+F20</f>
        <v/>
      </c>
    </row>
    <row r="21">
      <c r="B21" s="13" t="n">
        <v>17</v>
      </c>
      <c r="C21" s="14" t="n"/>
      <c r="D21" s="3">
        <f>Paycheck!C14</f>
        <v/>
      </c>
      <c r="E21" s="3" t="n"/>
      <c r="F21" s="15">
        <f>D21-E21</f>
        <v/>
      </c>
      <c r="G21" s="7">
        <f>G20+F21</f>
        <v/>
      </c>
    </row>
    <row r="22">
      <c r="B22" s="13" t="n">
        <v>18</v>
      </c>
      <c r="C22" s="14" t="n"/>
      <c r="D22" s="3">
        <f>Paycheck!C14</f>
        <v/>
      </c>
      <c r="E22" s="3" t="n"/>
      <c r="F22" s="15">
        <f>D22-E22</f>
        <v/>
      </c>
      <c r="G22" s="7">
        <f>G21+F22</f>
        <v/>
      </c>
    </row>
    <row r="23">
      <c r="B23" s="13" t="n">
        <v>19</v>
      </c>
      <c r="C23" s="14" t="n"/>
      <c r="D23" s="3">
        <f>Paycheck!C14</f>
        <v/>
      </c>
      <c r="E23" s="3" t="n"/>
      <c r="F23" s="15">
        <f>D23-E23</f>
        <v/>
      </c>
      <c r="G23" s="7">
        <f>G22+F23</f>
        <v/>
      </c>
    </row>
    <row r="24">
      <c r="B24" s="13" t="n">
        <v>20</v>
      </c>
      <c r="C24" s="14" t="n"/>
      <c r="D24" s="3">
        <f>Paycheck!C14</f>
        <v/>
      </c>
      <c r="E24" s="3" t="n"/>
      <c r="F24" s="15">
        <f>D24-E24</f>
        <v/>
      </c>
      <c r="G24" s="7">
        <f>G23+F24</f>
        <v/>
      </c>
    </row>
    <row r="25">
      <c r="B25" s="13" t="n">
        <v>21</v>
      </c>
      <c r="C25" s="14" t="n"/>
      <c r="D25" s="3">
        <f>Paycheck!C14</f>
        <v/>
      </c>
      <c r="E25" s="3" t="n"/>
      <c r="F25" s="15">
        <f>D25-E25</f>
        <v/>
      </c>
      <c r="G25" s="7">
        <f>G24+F25</f>
        <v/>
      </c>
    </row>
    <row r="26">
      <c r="B26" s="13" t="n">
        <v>22</v>
      </c>
      <c r="C26" s="14" t="n"/>
      <c r="D26" s="3">
        <f>Paycheck!C14</f>
        <v/>
      </c>
      <c r="E26" s="3" t="n"/>
      <c r="F26" s="15">
        <f>D26-E26</f>
        <v/>
      </c>
      <c r="G26" s="7">
        <f>G25+F26</f>
        <v/>
      </c>
    </row>
    <row r="27">
      <c r="B27" s="13" t="n">
        <v>23</v>
      </c>
      <c r="C27" s="14" t="n"/>
      <c r="D27" s="3">
        <f>Paycheck!C14</f>
        <v/>
      </c>
      <c r="E27" s="3" t="n"/>
      <c r="F27" s="15">
        <f>D27-E27</f>
        <v/>
      </c>
      <c r="G27" s="7">
        <f>G26+F27</f>
        <v/>
      </c>
    </row>
    <row r="28">
      <c r="B28" s="13" t="n">
        <v>24</v>
      </c>
      <c r="C28" s="14" t="n"/>
      <c r="D28" s="3">
        <f>Paycheck!C14</f>
        <v/>
      </c>
      <c r="E28" s="3" t="n"/>
      <c r="F28" s="15">
        <f>D28-E28</f>
        <v/>
      </c>
      <c r="G28" s="7">
        <f>G27+F28</f>
        <v/>
      </c>
    </row>
    <row r="29">
      <c r="B29" s="13" t="n">
        <v>25</v>
      </c>
      <c r="C29" s="14" t="n"/>
      <c r="D29" s="3">
        <f>Paycheck!C14</f>
        <v/>
      </c>
      <c r="E29" s="3" t="n"/>
      <c r="F29" s="15">
        <f>D29-E29</f>
        <v/>
      </c>
      <c r="G29" s="7">
        <f>G28+F29</f>
        <v/>
      </c>
    </row>
    <row r="30">
      <c r="B30" s="13" t="n">
        <v>26</v>
      </c>
      <c r="C30" s="14" t="n"/>
      <c r="D30" s="3">
        <f>Paycheck!C14</f>
        <v/>
      </c>
      <c r="E30" s="3" t="n"/>
      <c r="F30" s="15">
        <f>D30-E30</f>
        <v/>
      </c>
      <c r="G30" s="7">
        <f>G29+F30</f>
        <v/>
      </c>
    </row>
    <row r="31">
      <c r="B31" s="16" t="inlineStr"/>
      <c r="C31" s="8" t="inlineStr">
        <is>
          <t>Totals</t>
        </is>
      </c>
      <c r="D31" s="9">
        <f>SUM(D5:D30)</f>
        <v/>
      </c>
      <c r="E31" s="9">
        <f>SUM(E5:E30)</f>
        <v/>
      </c>
      <c r="F31" s="9">
        <f>SUM(F5:F30)</f>
        <v/>
      </c>
      <c r="G31" s="17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2026-06-25T08:28:35Z</dcterms:created>
  <dcterms:modified xsi:type="dcterms:W3CDTF">2026-06-25T08:28:35Z</dcterms:modified>
</cp:coreProperties>
</file>