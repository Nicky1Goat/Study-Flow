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ow-to" sheetId="2" state="visible" r:id="rId2"/>
    <sheet name="Paycheck" sheetId="3" state="visible" r:id="rId3"/>
    <sheet name="Budget" sheetId="4" state="visible" r:id="rId4"/>
    <sheet name="50-30-20" sheetId="5" state="visible" r:id="rId5"/>
    <sheet name="Bills" sheetId="6" state="visible" r:id="rId6"/>
    <sheet name="Subscriptions" sheetId="7" state="visible" r:id="rId7"/>
    <sheet name="Log" sheetId="8" state="visible" r:id="rId8"/>
    <sheet name="Savings Goals" sheetId="9" state="visible" r:id="rId9"/>
    <sheet name="Sinking Funds" sheetId="10" state="visible" r:id="rId10"/>
    <sheet name="Debt Payoff" sheetId="11" state="visible" r:id="rId11"/>
    <sheet name="Net Worth" sheetId="12" state="visible" r:id="rId12"/>
    <sheet name="Annual Overview" sheetId="13" state="visible" r:id="rId13"/>
    <sheet name="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&quot; &quot;mmm&quot; &quot;yyyy"/>
  </numFmts>
  <fonts count="10">
    <font>
      <name val="Calibri"/>
      <family val="2"/>
      <color theme="1"/>
      <sz val="11"/>
      <scheme val="minor"/>
    </font>
    <font>
      <b val="1"/>
      <color rgb="00FFFFFF"/>
      <sz val="26"/>
    </font>
    <font>
      <b val="1"/>
      <color rgb="00FFFFFF"/>
      <sz val="14"/>
    </font>
    <font>
      <b val="1"/>
      <color rgb="00FFFFFF"/>
      <sz val="12"/>
    </font>
    <font>
      <b val="1"/>
      <color rgb="002E4A57"/>
      <sz val="11"/>
    </font>
    <font>
      <b val="1"/>
      <color rgb="002E4A57"/>
      <sz val="10"/>
    </font>
    <font>
      <b val="1"/>
      <color rgb="00FFFFFF"/>
    </font>
    <font>
      <b val="1"/>
      <color rgb="00FFFFFF"/>
      <sz val="11"/>
    </font>
    <font>
      <b val="1"/>
      <color rgb="00FFFFFF"/>
      <sz val="9"/>
    </font>
    <font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F0EBE1"/>
        <bgColor rgb="00F0EBE1"/>
      </patternFill>
    </fill>
    <fill>
      <patternFill patternType="solid">
        <fgColor rgb="002E4A57"/>
        <bgColor rgb="002E4A57"/>
      </patternFill>
    </fill>
    <fill>
      <patternFill patternType="solid">
        <fgColor rgb="004E9C9C"/>
        <bgColor rgb="004E9C9C"/>
      </patternFill>
    </fill>
    <fill>
      <patternFill patternType="solid">
        <fgColor rgb="003E7A82"/>
        <bgColor rgb="003E7A82"/>
      </patternFill>
    </fill>
    <fill>
      <patternFill patternType="solid">
        <fgColor rgb="00EAF3F2"/>
        <bgColor rgb="00EAF3F2"/>
      </patternFill>
    </fill>
    <fill>
      <patternFill patternType="solid">
        <fgColor rgb="00F5F1E8"/>
        <bgColor rgb="00F5F1E8"/>
      </patternFill>
    </fill>
    <fill>
      <patternFill patternType="solid">
        <fgColor rgb="005B9AA0"/>
        <bgColor rgb="005B9AA0"/>
      </patternFill>
    </fill>
  </fills>
  <borders count="2">
    <border>
      <left/>
      <right/>
      <top/>
      <bottom/>
      <diagonal/>
    </border>
    <border>
      <left style="thin">
        <color rgb="00CBDCDC"/>
      </left>
      <right style="thin">
        <color rgb="00CBDCDC"/>
      </right>
      <top style="thin">
        <color rgb="00CBDCDC"/>
      </top>
      <bottom style="thin">
        <color rgb="00CBDCD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6" borderId="0" pivotButton="0" quotePrefix="0" xfId="0"/>
    <xf numFmtId="4" fontId="0" fillId="6" borderId="0" pivotButton="0" quotePrefix="0" xfId="0"/>
    <xf numFmtId="4" fontId="0" fillId="0" borderId="0" pivotButton="0" quotePrefix="0" xfId="0"/>
    <xf numFmtId="164" fontId="0" fillId="6" borderId="0" pivotButton="0" quotePrefix="0" xfId="0"/>
    <xf numFmtId="164" fontId="0" fillId="0" borderId="0" pivotButton="0" quotePrefix="0" xfId="0"/>
    <xf numFmtId="165" fontId="0" fillId="6" borderId="0" pivotButton="0" quotePrefix="0" xfId="0"/>
    <xf numFmtId="165" fontId="0" fillId="0" borderId="0" pivotButton="0" quotePrefix="0" xfId="0"/>
    <xf numFmtId="3" fontId="0" fillId="6" borderId="0" pivotButton="0" quotePrefix="0" xfId="0"/>
    <xf numFmtId="3" fontId="0" fillId="0" borderId="0" pivotButton="0" quotePrefix="0" xfId="0"/>
    <xf numFmtId="10" fontId="0" fillId="6" borderId="0" pivotButton="0" quotePrefix="0" xfId="0"/>
    <xf numFmtId="1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center" vertical="center"/>
    </xf>
    <xf numFmtId="4" fontId="9" fillId="3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4B7B7"/>
          <bgColor rgb="00F4B7B7"/>
        </patternFill>
      </fill>
    </dxf>
    <dxf>
      <fill>
        <patternFill patternType="solid">
          <fgColor rgb="007ED2B6"/>
          <bgColor rgb="007ED2B6"/>
        </patternFill>
      </fill>
    </dxf>
    <dxf>
      <fill>
        <patternFill patternType="solid">
          <fgColor rgb="00E8A6A6"/>
          <bgColor rgb="00E8A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solidFill>
              <a:srgbClr val="4E9C9C"/>
            </a:solidFill>
            <a:ln>
              <a:prstDash val="solid"/>
            </a:ln>
          </spPr>
          <cat>
            <numRef>
              <f>'Budget'!$A$2:$A$11</f>
            </numRef>
          </cat>
          <val>
            <numRef>
              <f>'Budget'!$B$2:$B$11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'Log'!F1</f>
            </strRef>
          </tx>
          <spPr>
            <a:solidFill>
              <a:srgbClr val="4E9C9C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'Log'!$B$2:$B$27</f>
            </numRef>
          </cat>
          <val>
            <numRef>
              <f>'Log'!$F$2:$F$27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'Savings Goals'!B1</f>
            </strRef>
          </tx>
          <spPr>
            <a:solidFill>
              <a:srgbClr val="4E9C9C"/>
            </a:solidFill>
            <a:ln>
              <a:prstDash val="solid"/>
            </a:ln>
          </spPr>
          <cat>
            <numRef>
              <f>'Savings Goals'!$A$2:$A$6</f>
            </numRef>
          </cat>
          <val>
            <numRef>
              <f>'Savings Goals'!$B$2:$B$6</f>
            </numRef>
          </val>
        </ser>
        <ser>
          <idx val="1"/>
          <order val="1"/>
          <tx>
            <strRef>
              <f>'Savings Goals'!C1</f>
            </strRef>
          </tx>
          <spPr>
            <a:solidFill>
              <a:srgbClr val="A8D0D0"/>
            </a:solidFill>
            <a:ln>
              <a:prstDash val="solid"/>
            </a:ln>
          </spPr>
          <cat>
            <numRef>
              <f>'Savings Goals'!$A$2:$A$6</f>
            </numRef>
          </cat>
          <val>
            <numRef>
              <f>'Savings Goals'!$C$2:$C$6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E9C9C"/>
              </a:solidFill>
              <a:ln>
                <a:prstDash val="solid"/>
              </a:ln>
            </spPr>
          </dPt>
          <dPt>
            <idx val="1"/>
            <spPr>
              <a:solidFill>
                <a:srgbClr val="A8D0D0"/>
              </a:solidFill>
              <a:ln>
                <a:prstDash val="solid"/>
              </a:ln>
            </spPr>
          </dPt>
          <dPt>
            <idx val="2"/>
            <spPr>
              <a:solidFill>
                <a:srgbClr val="2E4A57"/>
              </a:solidFill>
              <a:ln>
                <a:prstDash val="solid"/>
              </a:ln>
            </spPr>
          </dPt>
          <cat>
            <numRef>
              <f>'50-30-20'!$A$2:$A$4</f>
            </numRef>
          </cat>
          <val>
            <numRef>
              <f>'50-30-20'!$D$2:$D$4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13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</col>
      <colOff>0</colOff>
      <row>28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43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</col>
      <colOff>0</colOff>
      <row>58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22" customHeight="1"/>
  <cols>
    <col width="3" customWidth="1" min="1" max="1"/>
    <col width="4" customWidth="1" min="2" max="2"/>
    <col width="24" customWidth="1" min="3" max="3"/>
    <col width="24" customWidth="1" min="4" max="4"/>
    <col width="24" customWidth="1" min="5" max="5"/>
    <col width="4" customWidth="1" min="6" max="6"/>
  </cols>
  <sheetData>
    <row r="2">
      <c r="B2" s="1" t="n"/>
      <c r="C2" s="1" t="n"/>
      <c r="D2" s="1" t="n"/>
      <c r="E2" s="1" t="n"/>
    </row>
    <row r="3">
      <c r="B3" s="2" t="inlineStr">
        <is>
          <t>BUDGET  BY  PAYCHECK</t>
        </is>
      </c>
    </row>
    <row r="4"/>
    <row r="5"/>
    <row r="6">
      <c r="B6" s="3" t="inlineStr">
        <is>
          <t>Bi-Weekly Budget, Savings &amp; Debt Tracker</t>
        </is>
      </c>
    </row>
    <row r="7">
      <c r="B7" s="1" t="n"/>
      <c r="C7" s="1" t="n"/>
      <c r="D7" s="1" t="n"/>
      <c r="E7" s="1" t="n"/>
    </row>
    <row r="8">
      <c r="B8" s="4" t="inlineStr">
        <is>
          <t>WHAT'S  INSIDE  ·  14  TABS</t>
        </is>
      </c>
    </row>
    <row r="9">
      <c r="B9" s="5" t="inlineStr">
        <is>
          <t xml:space="preserve">   START HERE   —   Instructions — set up in minutes</t>
        </is>
      </c>
    </row>
    <row r="10">
      <c r="B10" s="6" t="inlineStr">
        <is>
          <t xml:space="preserve">   PLAN   —   Paycheck · Budget · 50/30/20</t>
        </is>
      </c>
    </row>
    <row r="11">
      <c r="B11" s="5" t="inlineStr">
        <is>
          <t xml:space="preserve">   TRACK   —   Bills · Subscriptions · Paycheck Log</t>
        </is>
      </c>
    </row>
    <row r="12">
      <c r="B12" s="6" t="inlineStr">
        <is>
          <t xml:space="preserve">   GROW   —   Savings Goals · Sinking Funds</t>
        </is>
      </c>
    </row>
    <row r="13">
      <c r="B13" s="5" t="inlineStr">
        <is>
          <t xml:space="preserve">   CRUSH DEBT   —   Debt Payoff with payoff progress</t>
        </is>
      </c>
    </row>
    <row r="14">
      <c r="B14" s="6" t="inlineStr">
        <is>
          <t xml:space="preserve">   NET WORTH   —   Net Worth · Annual Overview</t>
        </is>
      </c>
    </row>
    <row r="15">
      <c r="B15" s="5" t="inlineStr">
        <is>
          <t xml:space="preserve">   SEE IT ALL   —   Dashboard — every number, live</t>
        </is>
      </c>
    </row>
    <row r="16">
      <c r="B16" s="1" t="n"/>
      <c r="C16" s="1" t="n"/>
      <c r="D16" s="1" t="n"/>
      <c r="E16" s="1" t="n"/>
    </row>
    <row r="17">
      <c r="B17" s="7" t="inlineStr">
        <is>
          <t>Only the shaded cells need you — everything else is automatic</t>
        </is>
      </c>
    </row>
    <row r="18">
      <c r="B18" s="8" t="inlineStr">
        <is>
          <t>♡   Thank you for your purchase   ·   made with care</t>
        </is>
      </c>
    </row>
    <row r="19">
      <c r="B19" s="1" t="n"/>
      <c r="C19" s="1" t="n"/>
      <c r="D19" s="1" t="n"/>
      <c r="E19" s="1" t="n"/>
    </row>
  </sheetData>
  <mergeCells count="12">
    <mergeCell ref="B17:E17"/>
    <mergeCell ref="B9:E9"/>
    <mergeCell ref="B18:E18"/>
    <mergeCell ref="B8:E8"/>
    <mergeCell ref="B12:E12"/>
    <mergeCell ref="B13:E13"/>
    <mergeCell ref="B6:E6"/>
    <mergeCell ref="B15:E15"/>
    <mergeCell ref="B11:E11"/>
    <mergeCell ref="B10:E10"/>
    <mergeCell ref="B3:E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5" customWidth="1" min="2" max="2"/>
  </cols>
  <sheetData>
    <row r="1">
      <c r="A1" s="9" t="inlineStr">
        <is>
          <t>Step</t>
        </is>
      </c>
      <c r="B1" s="9" t="inlineStr">
        <is>
          <t>What to do</t>
        </is>
      </c>
    </row>
    <row r="2">
      <c r="A2" s="10" t="inlineStr">
        <is>
          <t>1</t>
        </is>
      </c>
      <c r="B2" s="10" t="inlineStr">
        <is>
          <t>Make your own copy first (File ▸ Make a copy / Save As) so the original stays clean.</t>
        </is>
      </c>
    </row>
    <row r="3">
      <c r="A3" t="inlineStr">
        <is>
          <t>2</t>
        </is>
      </c>
      <c r="B3" t="inlineStr">
        <is>
          <t>Paycheck tab: enter your gross pay and each deduction. Take-home pay calculates itself.</t>
        </is>
      </c>
    </row>
    <row r="4">
      <c r="A4" s="10" t="inlineStr">
        <is>
          <t>3</t>
        </is>
      </c>
      <c r="B4" s="10" t="inlineStr">
        <is>
          <t>Budget tab: set a Budgeted amount per category. Aim to keep 'Left to allocate' at 0.</t>
        </is>
      </c>
    </row>
    <row r="5">
      <c r="A5" t="inlineStr">
        <is>
          <t>4</t>
        </is>
      </c>
      <c r="B5" t="inlineStr">
        <is>
          <t>Bills &amp; Subscriptions: list what you owe each month and tick off bills as you pay them.</t>
        </is>
      </c>
    </row>
    <row r="6">
      <c r="A6" s="10" t="inlineStr">
        <is>
          <t>5</t>
        </is>
      </c>
      <c r="B6" s="10" t="inlineStr">
        <is>
          <t>Paycheck Log: each payday, type what you Spent. Saved and Cumulative saved fill in for you.</t>
        </is>
      </c>
    </row>
    <row r="7">
      <c r="A7" t="inlineStr">
        <is>
          <t>6</t>
        </is>
      </c>
      <c r="B7" t="inlineStr">
        <is>
          <t>Savings Goals &amp; Sinking Funds: set targets and dates — your monthly contribution is calculated.</t>
        </is>
      </c>
    </row>
    <row r="8">
      <c r="A8" s="10" t="inlineStr">
        <is>
          <t>7</t>
        </is>
      </c>
      <c r="B8" s="10" t="inlineStr">
        <is>
          <t>Debt Payoff &amp; Net Worth: enter balances and watch '% paid' and your net worth update.</t>
        </is>
      </c>
    </row>
    <row r="9">
      <c r="A9" t="inlineStr">
        <is>
          <t>8</t>
        </is>
      </c>
      <c r="B9" t="inlineStr">
        <is>
          <t>Dashboard &amp; Annual Overview: open any time for your whole financial picture and charts.</t>
        </is>
      </c>
    </row>
    <row r="10">
      <c r="A10" s="10" t="inlineStr">
        <is>
          <t>★</t>
        </is>
      </c>
      <c r="B10" s="10" t="inlineStr">
        <is>
          <t>Tip: only shaded input cells need you. Hide any tabs you don't use — totals still 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9" t="inlineStr">
        <is>
          <t>Item</t>
        </is>
      </c>
      <c r="B1" s="9" t="inlineStr">
        <is>
          <t>Per paycheck</t>
        </is>
      </c>
      <c r="C1" s="9" t="inlineStr">
        <is>
          <t>Per year (×26)</t>
        </is>
      </c>
    </row>
    <row r="2">
      <c r="A2" s="10" t="inlineStr">
        <is>
          <t>Gross pay</t>
        </is>
      </c>
      <c r="B2" s="11" t="n">
        <v>2200</v>
      </c>
      <c r="C2" s="11">
        <f>B2*26</f>
        <v/>
      </c>
    </row>
    <row r="3">
      <c r="A3" t="inlineStr">
        <is>
          <t>Federal tax</t>
        </is>
      </c>
      <c r="B3" s="12" t="n">
        <v>264</v>
      </c>
      <c r="C3" s="12">
        <f>B3*26</f>
        <v/>
      </c>
    </row>
    <row r="4">
      <c r="A4" s="10" t="inlineStr">
        <is>
          <t>State tax</t>
        </is>
      </c>
      <c r="B4" s="11" t="n">
        <v>88</v>
      </c>
      <c r="C4" s="11">
        <f>B4*26</f>
        <v/>
      </c>
    </row>
    <row r="5">
      <c r="A5" t="inlineStr">
        <is>
          <t>FICA (Social Security + Medicare)</t>
        </is>
      </c>
      <c r="B5" s="12" t="n">
        <v>168</v>
      </c>
      <c r="C5" s="12">
        <f>B5*26</f>
        <v/>
      </c>
    </row>
    <row r="6">
      <c r="A6" s="10" t="inlineStr">
        <is>
          <t>Health insurance</t>
        </is>
      </c>
      <c r="B6" s="11" t="n">
        <v>95</v>
      </c>
      <c r="C6" s="11">
        <f>B6*26</f>
        <v/>
      </c>
    </row>
    <row r="7">
      <c r="A7" t="inlineStr">
        <is>
          <t>401(k) retirement</t>
        </is>
      </c>
      <c r="B7" s="12" t="n">
        <v>132</v>
      </c>
      <c r="C7" s="12">
        <f>B7*26</f>
        <v/>
      </c>
    </row>
    <row r="8">
      <c r="A8" s="10" t="inlineStr">
        <is>
          <t>Total deductions</t>
        </is>
      </c>
      <c r="B8" s="11">
        <f>SUM(B3:B7)</f>
        <v/>
      </c>
      <c r="C8" s="11">
        <f>B8*26</f>
        <v/>
      </c>
    </row>
    <row r="9">
      <c r="A9" t="inlineStr">
        <is>
          <t>Take-home pay (net)</t>
        </is>
      </c>
      <c r="B9" s="12">
        <f>B2-B8</f>
        <v/>
      </c>
      <c r="C9" s="12">
        <f>B9*26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9" t="inlineStr">
        <is>
          <t>Category</t>
        </is>
      </c>
      <c r="B1" s="9" t="inlineStr">
        <is>
          <t>Budgeted</t>
        </is>
      </c>
      <c r="C1" s="9" t="inlineStr">
        <is>
          <t>% of take-home</t>
        </is>
      </c>
    </row>
    <row r="2">
      <c r="A2" s="10" t="inlineStr">
        <is>
          <t>Rent / housing</t>
        </is>
      </c>
      <c r="B2" s="11" t="n">
        <v>600</v>
      </c>
      <c r="C2" s="13">
        <f>IF($B$13=0,0,B2/$B$13)</f>
        <v/>
      </c>
    </row>
    <row r="3">
      <c r="A3" t="inlineStr">
        <is>
          <t>Utilities</t>
        </is>
      </c>
      <c r="B3" s="12" t="n">
        <v>90</v>
      </c>
      <c r="C3" s="14">
        <f>IF($B$13=0,0,B3/$B$13)</f>
        <v/>
      </c>
    </row>
    <row r="4">
      <c r="A4" s="10" t="inlineStr">
        <is>
          <t>Groceries</t>
        </is>
      </c>
      <c r="B4" s="11" t="n">
        <v>220</v>
      </c>
      <c r="C4" s="13">
        <f>IF($B$13=0,0,B4/$B$13)</f>
        <v/>
      </c>
    </row>
    <row r="5">
      <c r="A5" t="inlineStr">
        <is>
          <t>Transportation / gas</t>
        </is>
      </c>
      <c r="B5" s="12" t="n">
        <v>100</v>
      </c>
      <c r="C5" s="14">
        <f>IF($B$13=0,0,B5/$B$13)</f>
        <v/>
      </c>
    </row>
    <row r="6">
      <c r="A6" s="10" t="inlineStr">
        <is>
          <t>Phone + internet</t>
        </is>
      </c>
      <c r="B6" s="11" t="n">
        <v>60</v>
      </c>
      <c r="C6" s="13">
        <f>IF($B$13=0,0,B6/$B$13)</f>
        <v/>
      </c>
    </row>
    <row r="7">
      <c r="A7" t="inlineStr">
        <is>
          <t>Subscriptions</t>
        </is>
      </c>
      <c r="B7" s="12" t="n">
        <v>30</v>
      </c>
      <c r="C7" s="14">
        <f>IF($B$13=0,0,B7/$B$13)</f>
        <v/>
      </c>
    </row>
    <row r="8">
      <c r="A8" s="10" t="inlineStr">
        <is>
          <t>Debt payment</t>
        </is>
      </c>
      <c r="B8" s="11" t="n">
        <v>100</v>
      </c>
      <c r="C8" s="13">
        <f>IF($B$13=0,0,B8/$B$13)</f>
        <v/>
      </c>
    </row>
    <row r="9">
      <c r="A9" t="inlineStr">
        <is>
          <t>Savings</t>
        </is>
      </c>
      <c r="B9" s="12" t="n">
        <v>150</v>
      </c>
      <c r="C9" s="14">
        <f>IF($B$13=0,0,B9/$B$13)</f>
        <v/>
      </c>
    </row>
    <row r="10">
      <c r="A10" s="10" t="inlineStr">
        <is>
          <t>Fun / dining out</t>
        </is>
      </c>
      <c r="B10" s="11" t="n">
        <v>60</v>
      </c>
      <c r="C10" s="13">
        <f>IF($B$13=0,0,B10/$B$13)</f>
        <v/>
      </c>
    </row>
    <row r="11">
      <c r="A11" t="inlineStr">
        <is>
          <t>Miscellaneous</t>
        </is>
      </c>
      <c r="B11" s="12" t="n">
        <v>43</v>
      </c>
      <c r="C11" s="14">
        <f>IF($B$13=0,0,B11/$B$13)</f>
        <v/>
      </c>
    </row>
    <row r="12">
      <c r="A12" s="10" t="inlineStr">
        <is>
          <t>Total budgeted</t>
        </is>
      </c>
      <c r="B12" s="11">
        <f>SUM(B2:B11)</f>
        <v/>
      </c>
      <c r="C12" s="13">
        <f>IF($B$13=0,0,B12/$B$13)</f>
        <v/>
      </c>
    </row>
    <row r="13">
      <c r="A13" t="inlineStr">
        <is>
          <t>Take-home pay (net)</t>
        </is>
      </c>
      <c r="B13" s="12">
        <f>Paycheck!B9</f>
        <v/>
      </c>
    </row>
    <row r="14">
      <c r="A14" s="10" t="inlineStr">
        <is>
          <t>Left to allocate</t>
        </is>
      </c>
      <c r="B14" s="11">
        <f>B13-B12</f>
        <v/>
      </c>
      <c r="C14" s="10" t="n"/>
    </row>
  </sheetData>
  <conditionalFormatting sqref="C2:C11">
    <cfRule type="dataBar" priority="1">
      <dataBar>
        <cfvo type="min"/>
        <cfvo type="max"/>
        <color rgb="004E9C9C"/>
      </dataBar>
    </cfRule>
  </conditionalFormatting>
  <conditionalFormatting sqref="B14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4" customWidth="1" min="4" max="4"/>
    <col width="14" customWidth="1" min="5" max="5"/>
  </cols>
  <sheetData>
    <row r="1">
      <c r="A1" s="9" t="inlineStr">
        <is>
          <t>Bucket</t>
        </is>
      </c>
      <c r="B1" s="9" t="inlineStr">
        <is>
          <t>Target %</t>
        </is>
      </c>
      <c r="C1" s="9" t="inlineStr">
        <is>
          <t>Target $ / paycheck</t>
        </is>
      </c>
      <c r="D1" s="9" t="inlineStr">
        <is>
          <t>Your plan $</t>
        </is>
      </c>
      <c r="E1" s="9" t="inlineStr">
        <is>
          <t>Difference</t>
        </is>
      </c>
    </row>
    <row r="2">
      <c r="A2" s="10" t="inlineStr">
        <is>
          <t>Needs (housing, food…)</t>
        </is>
      </c>
      <c r="B2" s="13" t="n">
        <v>0.5</v>
      </c>
      <c r="C2" s="11">
        <f>Paycheck!$B$9*B2</f>
        <v/>
      </c>
      <c r="D2" s="11">
        <f>SUM(Budget!B2:B6)</f>
        <v/>
      </c>
      <c r="E2" s="11">
        <f>D2-C2</f>
        <v/>
      </c>
    </row>
    <row r="3">
      <c r="A3" t="inlineStr">
        <is>
          <t>Wants (fun, subs…)</t>
        </is>
      </c>
      <c r="B3" s="14" t="n">
        <v>0.3</v>
      </c>
      <c r="C3" s="12">
        <f>Paycheck!$B$9*B3</f>
        <v/>
      </c>
      <c r="D3" s="12">
        <f>Budget!B7+Budget!B10+Budget!B11</f>
        <v/>
      </c>
      <c r="E3" s="12">
        <f>D3-C3</f>
        <v/>
      </c>
    </row>
    <row r="4">
      <c r="A4" s="10" t="inlineStr">
        <is>
          <t>Savings &amp; debt</t>
        </is>
      </c>
      <c r="B4" s="13" t="n">
        <v>0.2</v>
      </c>
      <c r="C4" s="11">
        <f>Paycheck!$B$9*B4</f>
        <v/>
      </c>
      <c r="D4" s="11">
        <f>Budget!B8+Budget!B9</f>
        <v/>
      </c>
      <c r="E4" s="11">
        <f>D4-C4</f>
        <v/>
      </c>
    </row>
    <row r="5">
      <c r="A5" t="inlineStr">
        <is>
          <t>Total</t>
        </is>
      </c>
      <c r="B5" s="14">
        <f>SUM(B2:B4)</f>
        <v/>
      </c>
      <c r="C5" s="12">
        <f>SUM(C2:C4)</f>
        <v/>
      </c>
      <c r="D5" s="12">
        <f>SUM(D2:D4)</f>
        <v/>
      </c>
      <c r="E5" s="12">
        <f>D5-C5</f>
        <v/>
      </c>
    </row>
  </sheetData>
  <conditionalFormatting sqref="E2:E4">
    <cfRule type="colorScale" priority="1">
      <colorScale>
        <cfvo type="min"/>
        <cfvo type="percentile" val="50"/>
        <cfvo type="max"/>
        <color rgb="007ED2B6"/>
        <color rgb="00F6E5A8"/>
        <color rgb="00E8A6A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0" customWidth="1" min="4" max="4"/>
    <col width="12" customWidth="1" min="5" max="5"/>
    <col width="16" customWidth="1" min="6" max="6"/>
  </cols>
  <sheetData>
    <row r="1">
      <c r="A1" s="9" t="inlineStr">
        <is>
          <t>Bill</t>
        </is>
      </c>
      <c r="B1" s="9" t="inlineStr">
        <is>
          <t>Due day</t>
        </is>
      </c>
      <c r="C1" s="9" t="inlineStr">
        <is>
          <t>Amount</t>
        </is>
      </c>
      <c r="D1" s="9" t="inlineStr">
        <is>
          <t>Autopay</t>
        </is>
      </c>
      <c r="E1" s="9" t="inlineStr">
        <is>
          <t>Status</t>
        </is>
      </c>
      <c r="F1" s="9" t="inlineStr">
        <is>
          <t>Category</t>
        </is>
      </c>
    </row>
    <row r="2">
      <c r="A2" s="10" t="inlineStr">
        <is>
          <t>Rent / mortgage</t>
        </is>
      </c>
      <c r="B2" s="10" t="n">
        <v>1</v>
      </c>
      <c r="C2" s="11" t="n">
        <v>1200</v>
      </c>
      <c r="D2" s="10" t="inlineStr">
        <is>
          <t>No</t>
        </is>
      </c>
      <c r="E2" s="10" t="inlineStr">
        <is>
          <t>Unpaid</t>
        </is>
      </c>
      <c r="F2" s="10" t="inlineStr">
        <is>
          <t>Housing</t>
        </is>
      </c>
    </row>
    <row r="3">
      <c r="A3" t="inlineStr">
        <is>
          <t>Electric</t>
        </is>
      </c>
      <c r="B3" t="n">
        <v>5</v>
      </c>
      <c r="C3" s="12" t="n">
        <v>90</v>
      </c>
      <c r="D3" t="inlineStr">
        <is>
          <t>Yes</t>
        </is>
      </c>
      <c r="E3" t="inlineStr">
        <is>
          <t>Paid</t>
        </is>
      </c>
      <c r="F3" t="inlineStr">
        <is>
          <t>Utilities</t>
        </is>
      </c>
    </row>
    <row r="4">
      <c r="A4" s="10" t="inlineStr">
        <is>
          <t>Internet</t>
        </is>
      </c>
      <c r="B4" s="10" t="n">
        <v>10</v>
      </c>
      <c r="C4" s="11" t="n">
        <v>60</v>
      </c>
      <c r="D4" s="10" t="inlineStr">
        <is>
          <t>Yes</t>
        </is>
      </c>
      <c r="E4" s="10" t="inlineStr">
        <is>
          <t>Paid</t>
        </is>
      </c>
      <c r="F4" s="10" t="inlineStr">
        <is>
          <t>Utilities</t>
        </is>
      </c>
    </row>
    <row r="5">
      <c r="A5" t="inlineStr">
        <is>
          <t>Phone</t>
        </is>
      </c>
      <c r="B5" t="n">
        <v>15</v>
      </c>
      <c r="C5" s="12" t="n">
        <v>45</v>
      </c>
      <c r="D5" t="inlineStr">
        <is>
          <t>Yes</t>
        </is>
      </c>
      <c r="E5" t="inlineStr">
        <is>
          <t>Unpaid</t>
        </is>
      </c>
      <c r="F5" t="inlineStr">
        <is>
          <t>Utilities</t>
        </is>
      </c>
    </row>
    <row r="6">
      <c r="A6" s="10" t="inlineStr">
        <is>
          <t>Car insurance</t>
        </is>
      </c>
      <c r="B6" s="10" t="n">
        <v>20</v>
      </c>
      <c r="C6" s="11" t="n">
        <v>110</v>
      </c>
      <c r="D6" s="10" t="inlineStr">
        <is>
          <t>No</t>
        </is>
      </c>
      <c r="E6" s="10" t="inlineStr">
        <is>
          <t>Unpaid</t>
        </is>
      </c>
      <c r="F6" s="10" t="inlineStr">
        <is>
          <t>Insurance</t>
        </is>
      </c>
    </row>
    <row r="7">
      <c r="A7" t="inlineStr">
        <is>
          <t>Water</t>
        </is>
      </c>
      <c r="B7" t="n">
        <v>22</v>
      </c>
      <c r="C7" s="12" t="n">
        <v>40</v>
      </c>
      <c r="D7" t="inlineStr">
        <is>
          <t>No</t>
        </is>
      </c>
      <c r="E7" t="inlineStr">
        <is>
          <t>Unpaid</t>
        </is>
      </c>
      <c r="F7" t="inlineStr">
        <is>
          <t>Utilities</t>
        </is>
      </c>
    </row>
    <row r="8">
      <c r="A8" s="10" t="inlineStr">
        <is>
          <t>Gym</t>
        </is>
      </c>
      <c r="B8" s="10" t="n">
        <v>25</v>
      </c>
      <c r="C8" s="11" t="n">
        <v>30</v>
      </c>
      <c r="D8" s="10" t="inlineStr">
        <is>
          <t>Yes</t>
        </is>
      </c>
      <c r="E8" s="10" t="inlineStr">
        <is>
          <t>Paid</t>
        </is>
      </c>
      <c r="F8" s="10" t="inlineStr">
        <is>
          <t>Health</t>
        </is>
      </c>
    </row>
    <row r="9">
      <c r="A9" t="inlineStr">
        <is>
          <t>Credit card</t>
        </is>
      </c>
      <c r="B9" t="n">
        <v>28</v>
      </c>
      <c r="C9" s="12" t="n">
        <v>150</v>
      </c>
      <c r="D9" t="inlineStr">
        <is>
          <t>No</t>
        </is>
      </c>
      <c r="E9" t="inlineStr">
        <is>
          <t>Unpaid</t>
        </is>
      </c>
      <c r="F9" t="inlineStr">
        <is>
          <t>Debt</t>
        </is>
      </c>
    </row>
    <row r="10">
      <c r="A10" s="10" t="inlineStr">
        <is>
          <t>Total</t>
        </is>
      </c>
      <c r="B10" s="10" t="n"/>
      <c r="C10" s="11">
        <f>SUM(C2:C9)</f>
        <v/>
      </c>
      <c r="D10" s="10" t="n"/>
      <c r="E10" s="10" t="n"/>
      <c r="F10" s="10" t="n"/>
    </row>
  </sheetData>
  <conditionalFormatting sqref="E2:E9">
    <cfRule type="expression" priority="1" dxfId="1">
      <formula>$E2="Paid"</formula>
    </cfRule>
    <cfRule type="expression" priority="2" dxfId="2">
      <formula>$E2="Unpaid"</formula>
    </cfRule>
  </conditionalFormatting>
  <conditionalFormatting sqref="C2:C9">
    <cfRule type="dataBar" priority="3">
      <dataBar>
        <cfvo type="min"/>
        <cfvo type="max"/>
        <color rgb="004E9C9C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</cols>
  <sheetData>
    <row r="1">
      <c r="A1" s="9" t="inlineStr">
        <is>
          <t>Subscription</t>
        </is>
      </c>
      <c r="B1" s="9" t="inlineStr">
        <is>
          <t>Monthly cost</t>
        </is>
      </c>
      <c r="C1" s="9" t="inlineStr">
        <is>
          <t>Annual cost</t>
        </is>
      </c>
      <c r="D1" s="9" t="inlineStr">
        <is>
          <t>Category</t>
        </is>
      </c>
    </row>
    <row r="2">
      <c r="A2" s="10" t="inlineStr">
        <is>
          <t>Netflix</t>
        </is>
      </c>
      <c r="B2" s="11" t="n">
        <v>15.49</v>
      </c>
      <c r="C2" s="11">
        <f>B2*12</f>
        <v/>
      </c>
      <c r="D2" s="10" t="inlineStr">
        <is>
          <t>Streaming</t>
        </is>
      </c>
    </row>
    <row r="3">
      <c r="A3" t="inlineStr">
        <is>
          <t>Spotify</t>
        </is>
      </c>
      <c r="B3" s="12" t="n">
        <v>11.99</v>
      </c>
      <c r="C3" s="12">
        <f>B3*12</f>
        <v/>
      </c>
      <c r="D3" t="inlineStr">
        <is>
          <t>Music</t>
        </is>
      </c>
    </row>
    <row r="4">
      <c r="A4" s="10" t="inlineStr">
        <is>
          <t>Amazon Prime</t>
        </is>
      </c>
      <c r="B4" s="11" t="n">
        <v>14.99</v>
      </c>
      <c r="C4" s="11">
        <f>B4*12</f>
        <v/>
      </c>
      <c r="D4" s="10" t="inlineStr">
        <is>
          <t>Shopping</t>
        </is>
      </c>
    </row>
    <row r="5">
      <c r="A5" t="inlineStr">
        <is>
          <t>iCloud storage</t>
        </is>
      </c>
      <c r="B5" s="12" t="n">
        <v>2.99</v>
      </c>
      <c r="C5" s="12">
        <f>B5*12</f>
        <v/>
      </c>
      <c r="D5" t="inlineStr">
        <is>
          <t>Software</t>
        </is>
      </c>
    </row>
    <row r="6">
      <c r="A6" s="10" t="inlineStr">
        <is>
          <t>Disney+</t>
        </is>
      </c>
      <c r="B6" s="11" t="n">
        <v>13.99</v>
      </c>
      <c r="C6" s="11">
        <f>B6*12</f>
        <v/>
      </c>
      <c r="D6" s="10" t="inlineStr">
        <is>
          <t>Streaming</t>
        </is>
      </c>
    </row>
    <row r="7">
      <c r="A7" t="inlineStr">
        <is>
          <t>Adobe</t>
        </is>
      </c>
      <c r="B7" s="12" t="n">
        <v>20.99</v>
      </c>
      <c r="C7" s="12">
        <f>B7*12</f>
        <v/>
      </c>
      <c r="D7" t="inlineStr">
        <is>
          <t>Software</t>
        </is>
      </c>
    </row>
    <row r="8">
      <c r="A8" s="10" t="inlineStr">
        <is>
          <t>YouTube Premium</t>
        </is>
      </c>
      <c r="B8" s="11" t="n">
        <v>13.99</v>
      </c>
      <c r="C8" s="11">
        <f>B8*12</f>
        <v/>
      </c>
      <c r="D8" s="10" t="inlineStr">
        <is>
          <t>Streaming</t>
        </is>
      </c>
    </row>
    <row r="9">
      <c r="A9" t="inlineStr">
        <is>
          <t>Total</t>
        </is>
      </c>
      <c r="B9" s="12">
        <f>SUM(B2:B8)</f>
        <v/>
      </c>
      <c r="C9" s="12">
        <f>SUM(C2:C8)</f>
        <v/>
      </c>
    </row>
  </sheetData>
  <conditionalFormatting sqref="C2:C8">
    <cfRule type="dataBar" priority="1">
      <dataBar>
        <cfvo type="min"/>
        <cfvo type="max"/>
        <color rgb="004E9C9C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9" t="inlineStr">
        <is>
          <t>#</t>
        </is>
      </c>
      <c r="B1" s="9" t="inlineStr">
        <is>
          <t>Pay date</t>
        </is>
      </c>
      <c r="C1" s="9" t="inlineStr">
        <is>
          <t>Net pay</t>
        </is>
      </c>
      <c r="D1" s="9" t="inlineStr">
        <is>
          <t>Spent</t>
        </is>
      </c>
      <c r="E1" s="9" t="inlineStr">
        <is>
          <t>Saved</t>
        </is>
      </c>
      <c r="F1" s="9" t="inlineStr">
        <is>
          <t>Cumulative saved</t>
        </is>
      </c>
    </row>
    <row r="2">
      <c r="A2" s="10" t="n">
        <v>1</v>
      </c>
      <c r="B2" s="15">
        <f>DATE(2026,1,2)+14*(2-2)</f>
        <v/>
      </c>
      <c r="C2" s="11">
        <f>Paycheck!$B$9</f>
        <v/>
      </c>
      <c r="D2" s="11" t="n">
        <v>1303</v>
      </c>
      <c r="E2" s="11">
        <f>C2-D2</f>
        <v/>
      </c>
      <c r="F2" s="11">
        <f>SUM($E$2:E2)</f>
        <v/>
      </c>
    </row>
    <row r="3">
      <c r="A3" t="n">
        <v>2</v>
      </c>
      <c r="B3" s="16">
        <f>DATE(2026,1,2)+14*(3-2)</f>
        <v/>
      </c>
      <c r="C3" s="12">
        <f>Paycheck!$B$9</f>
        <v/>
      </c>
      <c r="D3" s="12" t="n">
        <v>1303</v>
      </c>
      <c r="E3" s="12">
        <f>C3-D3</f>
        <v/>
      </c>
      <c r="F3" s="12">
        <f>SUM($E$2:E3)</f>
        <v/>
      </c>
    </row>
    <row r="4">
      <c r="A4" s="10" t="n">
        <v>3</v>
      </c>
      <c r="B4" s="15">
        <f>DATE(2026,1,2)+14*(4-2)</f>
        <v/>
      </c>
      <c r="C4" s="11">
        <f>Paycheck!$B$9</f>
        <v/>
      </c>
      <c r="D4" s="11" t="n">
        <v>1303</v>
      </c>
      <c r="E4" s="11">
        <f>C4-D4</f>
        <v/>
      </c>
      <c r="F4" s="11">
        <f>SUM($E$2:E4)</f>
        <v/>
      </c>
    </row>
    <row r="5">
      <c r="A5" t="n">
        <v>4</v>
      </c>
      <c r="B5" s="16">
        <f>DATE(2026,1,2)+14*(5-2)</f>
        <v/>
      </c>
      <c r="C5" s="12">
        <f>Paycheck!$B$9</f>
        <v/>
      </c>
      <c r="D5" s="12" t="n">
        <v>1303</v>
      </c>
      <c r="E5" s="12">
        <f>C5-D5</f>
        <v/>
      </c>
      <c r="F5" s="12">
        <f>SUM($E$2:E5)</f>
        <v/>
      </c>
    </row>
    <row r="6">
      <c r="A6" s="10" t="n">
        <v>5</v>
      </c>
      <c r="B6" s="15">
        <f>DATE(2026,1,2)+14*(6-2)</f>
        <v/>
      </c>
      <c r="C6" s="11">
        <f>Paycheck!$B$9</f>
        <v/>
      </c>
      <c r="D6" s="11" t="n">
        <v>1303</v>
      </c>
      <c r="E6" s="11">
        <f>C6-D6</f>
        <v/>
      </c>
      <c r="F6" s="11">
        <f>SUM($E$2:E6)</f>
        <v/>
      </c>
    </row>
    <row r="7">
      <c r="A7" t="n">
        <v>6</v>
      </c>
      <c r="B7" s="16">
        <f>DATE(2026,1,2)+14*(7-2)</f>
        <v/>
      </c>
      <c r="C7" s="12">
        <f>Paycheck!$B$9</f>
        <v/>
      </c>
      <c r="D7" s="12" t="n">
        <v>1303</v>
      </c>
      <c r="E7" s="12">
        <f>C7-D7</f>
        <v/>
      </c>
      <c r="F7" s="12">
        <f>SUM($E$2:E7)</f>
        <v/>
      </c>
    </row>
    <row r="8">
      <c r="A8" s="10" t="n">
        <v>7</v>
      </c>
      <c r="B8" s="15">
        <f>DATE(2026,1,2)+14*(8-2)</f>
        <v/>
      </c>
      <c r="C8" s="11">
        <f>Paycheck!$B$9</f>
        <v/>
      </c>
      <c r="D8" s="11" t="n">
        <v>1303</v>
      </c>
      <c r="E8" s="11">
        <f>C8-D8</f>
        <v/>
      </c>
      <c r="F8" s="11">
        <f>SUM($E$2:E8)</f>
        <v/>
      </c>
    </row>
    <row r="9">
      <c r="A9" t="n">
        <v>8</v>
      </c>
      <c r="B9" s="16">
        <f>DATE(2026,1,2)+14*(9-2)</f>
        <v/>
      </c>
      <c r="C9" s="12">
        <f>Paycheck!$B$9</f>
        <v/>
      </c>
      <c r="D9" s="12" t="n">
        <v>1303</v>
      </c>
      <c r="E9" s="12">
        <f>C9-D9</f>
        <v/>
      </c>
      <c r="F9" s="12">
        <f>SUM($E$2:E9)</f>
        <v/>
      </c>
    </row>
    <row r="10">
      <c r="A10" s="10" t="n">
        <v>9</v>
      </c>
      <c r="B10" s="15">
        <f>DATE(2026,1,2)+14*(10-2)</f>
        <v/>
      </c>
      <c r="C10" s="11">
        <f>Paycheck!$B$9</f>
        <v/>
      </c>
      <c r="D10" s="11" t="n">
        <v>1303</v>
      </c>
      <c r="E10" s="11">
        <f>C10-D10</f>
        <v/>
      </c>
      <c r="F10" s="11">
        <f>SUM($E$2:E10)</f>
        <v/>
      </c>
    </row>
    <row r="11">
      <c r="A11" t="n">
        <v>10</v>
      </c>
      <c r="B11" s="16">
        <f>DATE(2026,1,2)+14*(11-2)</f>
        <v/>
      </c>
      <c r="C11" s="12">
        <f>Paycheck!$B$9</f>
        <v/>
      </c>
      <c r="D11" s="12" t="n">
        <v>1303</v>
      </c>
      <c r="E11" s="12">
        <f>C11-D11</f>
        <v/>
      </c>
      <c r="F11" s="12">
        <f>SUM($E$2:E11)</f>
        <v/>
      </c>
    </row>
    <row r="12">
      <c r="A12" s="10" t="n">
        <v>11</v>
      </c>
      <c r="B12" s="15">
        <f>DATE(2026,1,2)+14*(12-2)</f>
        <v/>
      </c>
      <c r="C12" s="11">
        <f>Paycheck!$B$9</f>
        <v/>
      </c>
      <c r="D12" s="11" t="n">
        <v>1303</v>
      </c>
      <c r="E12" s="11">
        <f>C12-D12</f>
        <v/>
      </c>
      <c r="F12" s="11">
        <f>SUM($E$2:E12)</f>
        <v/>
      </c>
    </row>
    <row r="13">
      <c r="A13" t="n">
        <v>12</v>
      </c>
      <c r="B13" s="16">
        <f>DATE(2026,1,2)+14*(13-2)</f>
        <v/>
      </c>
      <c r="C13" s="12">
        <f>Paycheck!$B$9</f>
        <v/>
      </c>
      <c r="D13" s="12" t="n">
        <v>1303</v>
      </c>
      <c r="E13" s="12">
        <f>C13-D13</f>
        <v/>
      </c>
      <c r="F13" s="12">
        <f>SUM($E$2:E13)</f>
        <v/>
      </c>
    </row>
    <row r="14">
      <c r="A14" s="10" t="n">
        <v>13</v>
      </c>
      <c r="B14" s="15">
        <f>DATE(2026,1,2)+14*(14-2)</f>
        <v/>
      </c>
      <c r="C14" s="11">
        <f>Paycheck!$B$9</f>
        <v/>
      </c>
      <c r="D14" s="11" t="n">
        <v>1303</v>
      </c>
      <c r="E14" s="11">
        <f>C14-D14</f>
        <v/>
      </c>
      <c r="F14" s="11">
        <f>SUM($E$2:E14)</f>
        <v/>
      </c>
    </row>
    <row r="15">
      <c r="A15" t="n">
        <v>14</v>
      </c>
      <c r="B15" s="16">
        <f>DATE(2026,1,2)+14*(15-2)</f>
        <v/>
      </c>
      <c r="C15" s="12">
        <f>Paycheck!$B$9</f>
        <v/>
      </c>
      <c r="D15" s="12" t="n">
        <v>1303</v>
      </c>
      <c r="E15" s="12">
        <f>C15-D15</f>
        <v/>
      </c>
      <c r="F15" s="12">
        <f>SUM($E$2:E15)</f>
        <v/>
      </c>
    </row>
    <row r="16">
      <c r="A16" s="10" t="n">
        <v>15</v>
      </c>
      <c r="B16" s="15">
        <f>DATE(2026,1,2)+14*(16-2)</f>
        <v/>
      </c>
      <c r="C16" s="11">
        <f>Paycheck!$B$9</f>
        <v/>
      </c>
      <c r="D16" s="11" t="n">
        <v>1303</v>
      </c>
      <c r="E16" s="11">
        <f>C16-D16</f>
        <v/>
      </c>
      <c r="F16" s="11">
        <f>SUM($E$2:E16)</f>
        <v/>
      </c>
    </row>
    <row r="17">
      <c r="A17" t="n">
        <v>16</v>
      </c>
      <c r="B17" s="16">
        <f>DATE(2026,1,2)+14*(17-2)</f>
        <v/>
      </c>
      <c r="C17" s="12">
        <f>Paycheck!$B$9</f>
        <v/>
      </c>
      <c r="D17" s="12" t="n">
        <v>1303</v>
      </c>
      <c r="E17" s="12">
        <f>C17-D17</f>
        <v/>
      </c>
      <c r="F17" s="12">
        <f>SUM($E$2:E17)</f>
        <v/>
      </c>
    </row>
    <row r="18">
      <c r="A18" s="10" t="n">
        <v>17</v>
      </c>
      <c r="B18" s="15">
        <f>DATE(2026,1,2)+14*(18-2)</f>
        <v/>
      </c>
      <c r="C18" s="11">
        <f>Paycheck!$B$9</f>
        <v/>
      </c>
      <c r="D18" s="11" t="n">
        <v>1303</v>
      </c>
      <c r="E18" s="11">
        <f>C18-D18</f>
        <v/>
      </c>
      <c r="F18" s="11">
        <f>SUM($E$2:E18)</f>
        <v/>
      </c>
    </row>
    <row r="19">
      <c r="A19" t="n">
        <v>18</v>
      </c>
      <c r="B19" s="16">
        <f>DATE(2026,1,2)+14*(19-2)</f>
        <v/>
      </c>
      <c r="C19" s="12">
        <f>Paycheck!$B$9</f>
        <v/>
      </c>
      <c r="D19" s="12" t="n">
        <v>1303</v>
      </c>
      <c r="E19" s="12">
        <f>C19-D19</f>
        <v/>
      </c>
      <c r="F19" s="12">
        <f>SUM($E$2:E19)</f>
        <v/>
      </c>
    </row>
    <row r="20">
      <c r="A20" s="10" t="n">
        <v>19</v>
      </c>
      <c r="B20" s="15">
        <f>DATE(2026,1,2)+14*(20-2)</f>
        <v/>
      </c>
      <c r="C20" s="11">
        <f>Paycheck!$B$9</f>
        <v/>
      </c>
      <c r="D20" s="11" t="n">
        <v>1303</v>
      </c>
      <c r="E20" s="11">
        <f>C20-D20</f>
        <v/>
      </c>
      <c r="F20" s="11">
        <f>SUM($E$2:E20)</f>
        <v/>
      </c>
    </row>
    <row r="21">
      <c r="A21" t="n">
        <v>20</v>
      </c>
      <c r="B21" s="16">
        <f>DATE(2026,1,2)+14*(21-2)</f>
        <v/>
      </c>
      <c r="C21" s="12">
        <f>Paycheck!$B$9</f>
        <v/>
      </c>
      <c r="D21" s="12" t="n">
        <v>1303</v>
      </c>
      <c r="E21" s="12">
        <f>C21-D21</f>
        <v/>
      </c>
      <c r="F21" s="12">
        <f>SUM($E$2:E21)</f>
        <v/>
      </c>
    </row>
    <row r="22">
      <c r="A22" s="10" t="n">
        <v>21</v>
      </c>
      <c r="B22" s="15">
        <f>DATE(2026,1,2)+14*(22-2)</f>
        <v/>
      </c>
      <c r="C22" s="11">
        <f>Paycheck!$B$9</f>
        <v/>
      </c>
      <c r="D22" s="11" t="n">
        <v>1303</v>
      </c>
      <c r="E22" s="11">
        <f>C22-D22</f>
        <v/>
      </c>
      <c r="F22" s="11">
        <f>SUM($E$2:E22)</f>
        <v/>
      </c>
    </row>
    <row r="23">
      <c r="A23" t="n">
        <v>22</v>
      </c>
      <c r="B23" s="16">
        <f>DATE(2026,1,2)+14*(23-2)</f>
        <v/>
      </c>
      <c r="C23" s="12">
        <f>Paycheck!$B$9</f>
        <v/>
      </c>
      <c r="D23" s="12" t="n">
        <v>1303</v>
      </c>
      <c r="E23" s="12">
        <f>C23-D23</f>
        <v/>
      </c>
      <c r="F23" s="12">
        <f>SUM($E$2:E23)</f>
        <v/>
      </c>
    </row>
    <row r="24">
      <c r="A24" s="10" t="n">
        <v>23</v>
      </c>
      <c r="B24" s="15">
        <f>DATE(2026,1,2)+14*(24-2)</f>
        <v/>
      </c>
      <c r="C24" s="11">
        <f>Paycheck!$B$9</f>
        <v/>
      </c>
      <c r="D24" s="11" t="n">
        <v>1303</v>
      </c>
      <c r="E24" s="11">
        <f>C24-D24</f>
        <v/>
      </c>
      <c r="F24" s="11">
        <f>SUM($E$2:E24)</f>
        <v/>
      </c>
    </row>
    <row r="25">
      <c r="A25" t="n">
        <v>24</v>
      </c>
      <c r="B25" s="16">
        <f>DATE(2026,1,2)+14*(25-2)</f>
        <v/>
      </c>
      <c r="C25" s="12">
        <f>Paycheck!$B$9</f>
        <v/>
      </c>
      <c r="D25" s="12" t="n">
        <v>1303</v>
      </c>
      <c r="E25" s="12">
        <f>C25-D25</f>
        <v/>
      </c>
      <c r="F25" s="12">
        <f>SUM($E$2:E25)</f>
        <v/>
      </c>
    </row>
    <row r="26">
      <c r="A26" s="10" t="n">
        <v>25</v>
      </c>
      <c r="B26" s="15">
        <f>DATE(2026,1,2)+14*(26-2)</f>
        <v/>
      </c>
      <c r="C26" s="11">
        <f>Paycheck!$B$9</f>
        <v/>
      </c>
      <c r="D26" s="11" t="n">
        <v>1303</v>
      </c>
      <c r="E26" s="11">
        <f>C26-D26</f>
        <v/>
      </c>
      <c r="F26" s="11">
        <f>SUM($E$2:E26)</f>
        <v/>
      </c>
    </row>
    <row r="27">
      <c r="A27" t="n">
        <v>26</v>
      </c>
      <c r="B27" s="16">
        <f>DATE(2026,1,2)+14*(27-2)</f>
        <v/>
      </c>
      <c r="C27" s="12">
        <f>Paycheck!$B$9</f>
        <v/>
      </c>
      <c r="D27" s="12" t="n">
        <v>1303</v>
      </c>
      <c r="E27" s="12">
        <f>C27-D27</f>
        <v/>
      </c>
      <c r="F27" s="12">
        <f>SUM($E$2:E27)</f>
        <v/>
      </c>
    </row>
  </sheetData>
  <conditionalFormatting sqref="F2:F27">
    <cfRule type="colorScale" priority="1">
      <colorScale>
        <cfvo type="min"/>
        <cfvo type="percentile" val="50"/>
        <cfvo type="max"/>
        <color rgb="00F0EBE1"/>
        <color rgb="00A8D0D0"/>
        <color rgb="004E9C9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2" customWidth="1" min="5" max="5"/>
    <col width="14" customWidth="1" min="6" max="6"/>
  </cols>
  <sheetData>
    <row r="1">
      <c r="A1" s="9" t="inlineStr">
        <is>
          <t>Goal</t>
        </is>
      </c>
      <c r="B1" s="9" t="inlineStr">
        <is>
          <t>Target</t>
        </is>
      </c>
      <c r="C1" s="9" t="inlineStr">
        <is>
          <t>Saved</t>
        </is>
      </c>
      <c r="D1" s="9" t="inlineStr">
        <is>
          <t>Remaining</t>
        </is>
      </c>
      <c r="E1" s="9" t="inlineStr">
        <is>
          <t>% Complete</t>
        </is>
      </c>
      <c r="F1" s="9" t="inlineStr">
        <is>
          <t>Target date</t>
        </is>
      </c>
    </row>
    <row r="2">
      <c r="A2" s="10" t="inlineStr">
        <is>
          <t>Emergency fund</t>
        </is>
      </c>
      <c r="B2" s="11" t="n">
        <v>5000</v>
      </c>
      <c r="C2" s="11" t="n">
        <v>1500</v>
      </c>
      <c r="D2" s="11">
        <f>MAX(B2-C2,0)</f>
        <v/>
      </c>
      <c r="E2" s="13">
        <f>IF(B2=0,0,C2/B2)</f>
        <v/>
      </c>
      <c r="F2" s="15">
        <f>DATE(2026,12,31)</f>
        <v/>
      </c>
    </row>
    <row r="3">
      <c r="A3" t="inlineStr">
        <is>
          <t>Vacation</t>
        </is>
      </c>
      <c r="B3" s="12" t="n">
        <v>2500</v>
      </c>
      <c r="C3" s="12" t="n">
        <v>800</v>
      </c>
      <c r="D3" s="12">
        <f>MAX(B3-C3,0)</f>
        <v/>
      </c>
      <c r="E3" s="14">
        <f>IF(B3=0,0,C3/B3)</f>
        <v/>
      </c>
      <c r="F3" s="16">
        <f>DATE(2026,8,15)</f>
        <v/>
      </c>
    </row>
    <row r="4">
      <c r="A4" s="10" t="inlineStr">
        <is>
          <t>New car fund</t>
        </is>
      </c>
      <c r="B4" s="11" t="n">
        <v>8000</v>
      </c>
      <c r="C4" s="11" t="n">
        <v>2200</v>
      </c>
      <c r="D4" s="11">
        <f>MAX(B4-C4,0)</f>
        <v/>
      </c>
      <c r="E4" s="13">
        <f>IF(B4=0,0,C4/B4)</f>
        <v/>
      </c>
      <c r="F4" s="15">
        <f>DATE(2027,6,1)</f>
        <v/>
      </c>
    </row>
    <row r="5">
      <c r="A5" t="inlineStr">
        <is>
          <t>Holiday gifts</t>
        </is>
      </c>
      <c r="B5" s="12" t="n">
        <v>1200</v>
      </c>
      <c r="C5" s="12" t="n">
        <v>300</v>
      </c>
      <c r="D5" s="12">
        <f>MAX(B5-C5,0)</f>
        <v/>
      </c>
      <c r="E5" s="14">
        <f>IF(B5=0,0,C5/B5)</f>
        <v/>
      </c>
      <c r="F5" s="16">
        <f>DATE(2026,12,1)</f>
        <v/>
      </c>
    </row>
    <row r="6">
      <c r="A6" s="10" t="inlineStr">
        <is>
          <t>Home down payment</t>
        </is>
      </c>
      <c r="B6" s="11" t="n">
        <v>20000</v>
      </c>
      <c r="C6" s="11" t="n">
        <v>4500</v>
      </c>
      <c r="D6" s="11">
        <f>MAX(B6-C6,0)</f>
        <v/>
      </c>
      <c r="E6" s="13">
        <f>IF(B6=0,0,C6/B6)</f>
        <v/>
      </c>
      <c r="F6" s="15">
        <f>DATE(2028,1,1)</f>
        <v/>
      </c>
    </row>
    <row r="7">
      <c r="A7" t="inlineStr">
        <is>
          <t>Total</t>
        </is>
      </c>
      <c r="B7" s="12">
        <f>SUM(B2:B6)</f>
        <v/>
      </c>
      <c r="C7" s="12">
        <f>SUM(C2:C6)</f>
        <v/>
      </c>
      <c r="D7" s="12">
        <f>SUM(D2:D6)</f>
        <v/>
      </c>
      <c r="E7" s="14">
        <f>IF(B7=0,0,C7/B7)</f>
        <v/>
      </c>
    </row>
  </sheetData>
  <conditionalFormatting sqref="E2:E6">
    <cfRule type="dataBar" priority="1">
      <dataBar>
        <cfvo type="min"/>
        <cfvo type="max"/>
        <color rgb="004E9C9C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1" customWidth="1" min="5" max="5"/>
    <col width="16" customWidth="1" min="6" max="6"/>
    <col width="13" customWidth="1" min="7" max="7"/>
  </cols>
  <sheetData>
    <row r="1">
      <c r="A1" s="9" t="inlineStr">
        <is>
          <t>Fund</t>
        </is>
      </c>
      <c r="B1" s="9" t="inlineStr">
        <is>
          <t>Target</t>
        </is>
      </c>
      <c r="C1" s="9" t="inlineStr">
        <is>
          <t>Saved</t>
        </is>
      </c>
      <c r="D1" s="9" t="inlineStr">
        <is>
          <t>Need by</t>
        </is>
      </c>
      <c r="E1" s="9" t="inlineStr">
        <is>
          <t>Months left</t>
        </is>
      </c>
      <c r="F1" s="9" t="inlineStr">
        <is>
          <t>Monthly set-aside</t>
        </is>
      </c>
      <c r="G1" s="9" t="inlineStr">
        <is>
          <t>Remaining</t>
        </is>
      </c>
    </row>
    <row r="2">
      <c r="A2" s="10" t="inlineStr">
        <is>
          <t>Car maintenance</t>
        </is>
      </c>
      <c r="B2" s="11" t="n">
        <v>1200</v>
      </c>
      <c r="C2" s="11" t="n">
        <v>300</v>
      </c>
      <c r="D2" s="15">
        <f>DATE(2026,12,1)</f>
        <v/>
      </c>
      <c r="E2" s="17">
        <f>MAX(DATEDIF(TODAY(),D2,"m"),1)</f>
        <v/>
      </c>
      <c r="F2" s="11">
        <f>MAX(B2-C2,0)/E2</f>
        <v/>
      </c>
      <c r="G2" s="11">
        <f>MAX(B2-C2,0)</f>
        <v/>
      </c>
    </row>
    <row r="3">
      <c r="A3" t="inlineStr">
        <is>
          <t>Holidays / gifts</t>
        </is>
      </c>
      <c r="B3" s="12" t="n">
        <v>1000</v>
      </c>
      <c r="C3" s="12" t="n">
        <v>250</v>
      </c>
      <c r="D3" s="16">
        <f>DATE(2026,12,15)</f>
        <v/>
      </c>
      <c r="E3" s="18">
        <f>MAX(DATEDIF(TODAY(),D3,"m"),1)</f>
        <v/>
      </c>
      <c r="F3" s="12">
        <f>MAX(B3-C3,0)/E3</f>
        <v/>
      </c>
      <c r="G3" s="12">
        <f>MAX(B3-C3,0)</f>
        <v/>
      </c>
    </row>
    <row r="4">
      <c r="A4" s="10" t="inlineStr">
        <is>
          <t>Annual insurance</t>
        </is>
      </c>
      <c r="B4" s="11" t="n">
        <v>1400</v>
      </c>
      <c r="C4" s="11" t="n">
        <v>600</v>
      </c>
      <c r="D4" s="15">
        <f>DATE(2027,3,1)</f>
        <v/>
      </c>
      <c r="E4" s="17">
        <f>MAX(DATEDIF(TODAY(),D4,"m"),1)</f>
        <v/>
      </c>
      <c r="F4" s="11">
        <f>MAX(B4-C4,0)/E4</f>
        <v/>
      </c>
      <c r="G4" s="11">
        <f>MAX(B4-C4,0)</f>
        <v/>
      </c>
    </row>
    <row r="5">
      <c r="A5" t="inlineStr">
        <is>
          <t>Medical / dental</t>
        </is>
      </c>
      <c r="B5" s="12" t="n">
        <v>800</v>
      </c>
      <c r="C5" s="12" t="n">
        <v>200</v>
      </c>
      <c r="D5" s="16">
        <f>DATE(2026,11,1)</f>
        <v/>
      </c>
      <c r="E5" s="18">
        <f>MAX(DATEDIF(TODAY(),D5,"m"),1)</f>
        <v/>
      </c>
      <c r="F5" s="12">
        <f>MAX(B5-C5,0)/E5</f>
        <v/>
      </c>
      <c r="G5" s="12">
        <f>MAX(B5-C5,0)</f>
        <v/>
      </c>
    </row>
    <row r="6">
      <c r="A6" s="10" t="inlineStr">
        <is>
          <t>Home repairs</t>
        </is>
      </c>
      <c r="B6" s="11" t="n">
        <v>2000</v>
      </c>
      <c r="C6" s="11" t="n">
        <v>500</v>
      </c>
      <c r="D6" s="15">
        <f>DATE(2027,6,1)</f>
        <v/>
      </c>
      <c r="E6" s="17">
        <f>MAX(DATEDIF(TODAY(),D6,"m"),1)</f>
        <v/>
      </c>
      <c r="F6" s="11">
        <f>MAX(B6-C6,0)/E6</f>
        <v/>
      </c>
      <c r="G6" s="11">
        <f>MAX(B6-C6,0)</f>
        <v/>
      </c>
    </row>
    <row r="7">
      <c r="A7" t="inlineStr">
        <is>
          <t>Travel</t>
        </is>
      </c>
      <c r="B7" s="12" t="n">
        <v>1500</v>
      </c>
      <c r="C7" s="12" t="n">
        <v>400</v>
      </c>
      <c r="D7" s="16">
        <f>DATE(2026,9,1)</f>
        <v/>
      </c>
      <c r="E7" s="18">
        <f>MAX(DATEDIF(TODAY(),D7,"m"),1)</f>
        <v/>
      </c>
      <c r="F7" s="12">
        <f>MAX(B7-C7,0)/E7</f>
        <v/>
      </c>
      <c r="G7" s="12">
        <f>MAX(B7-C7,0)</f>
        <v/>
      </c>
    </row>
    <row r="8">
      <c r="A8" s="10" t="inlineStr">
        <is>
          <t>Total</t>
        </is>
      </c>
      <c r="B8" s="11">
        <f>SUM(B2:B7)</f>
        <v/>
      </c>
      <c r="C8" s="11">
        <f>SUM(C2:C7)</f>
        <v/>
      </c>
      <c r="D8" s="10" t="n"/>
      <c r="E8" s="10" t="n"/>
      <c r="F8" s="11">
        <f>SUM(F2:F7)</f>
        <v/>
      </c>
      <c r="G8" s="11">
        <f>SUM(G2:G7)</f>
        <v/>
      </c>
    </row>
  </sheetData>
  <conditionalFormatting sqref="F2:F7">
    <cfRule type="dataBar" priority="1">
      <dataBar>
        <cfvo type="min"/>
        <cfvo type="max"/>
        <color rgb="003E7A82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3" customWidth="1" min="4" max="4"/>
    <col width="10" customWidth="1" min="5" max="5"/>
    <col width="9" customWidth="1" min="6" max="6"/>
    <col width="13" customWidth="1" min="7" max="7"/>
  </cols>
  <sheetData>
    <row r="1">
      <c r="A1" s="9" t="inlineStr">
        <is>
          <t>Debt</t>
        </is>
      </c>
      <c r="B1" s="9" t="inlineStr">
        <is>
          <t>Starting balance</t>
        </is>
      </c>
      <c r="C1" s="9" t="inlineStr">
        <is>
          <t>Current balance</t>
        </is>
      </c>
      <c r="D1" s="9" t="inlineStr">
        <is>
          <t>Paid off</t>
        </is>
      </c>
      <c r="E1" s="9" t="inlineStr">
        <is>
          <t>% paid</t>
        </is>
      </c>
      <c r="F1" s="9" t="inlineStr">
        <is>
          <t>APR</t>
        </is>
      </c>
      <c r="G1" s="9" t="inlineStr">
        <is>
          <t>Min payment</t>
        </is>
      </c>
    </row>
    <row r="2">
      <c r="A2" s="10" t="inlineStr">
        <is>
          <t>Credit card</t>
        </is>
      </c>
      <c r="B2" s="11" t="n">
        <v>4200</v>
      </c>
      <c r="C2" s="11" t="n">
        <v>3100</v>
      </c>
      <c r="D2" s="11">
        <f>B2-C2</f>
        <v/>
      </c>
      <c r="E2" s="13">
        <f>IF(B2=0,0,D2/B2)</f>
        <v/>
      </c>
      <c r="F2" s="19" t="n">
        <v>0.1999</v>
      </c>
      <c r="G2" s="11" t="n">
        <v>120</v>
      </c>
    </row>
    <row r="3">
      <c r="A3" t="inlineStr">
        <is>
          <t>Car loan</t>
        </is>
      </c>
      <c r="B3" s="12" t="n">
        <v>18000</v>
      </c>
      <c r="C3" s="12" t="n">
        <v>11500</v>
      </c>
      <c r="D3" s="12">
        <f>B3-C3</f>
        <v/>
      </c>
      <c r="E3" s="14">
        <f>IF(B3=0,0,D3/B3)</f>
        <v/>
      </c>
      <c r="F3" s="20" t="n">
        <v>0.0549</v>
      </c>
      <c r="G3" s="12" t="n">
        <v>340</v>
      </c>
    </row>
    <row r="4">
      <c r="A4" s="10" t="inlineStr">
        <is>
          <t>Student loan</t>
        </is>
      </c>
      <c r="B4" s="11" t="n">
        <v>24000</v>
      </c>
      <c r="C4" s="11" t="n">
        <v>15800</v>
      </c>
      <c r="D4" s="11">
        <f>B4-C4</f>
        <v/>
      </c>
      <c r="E4" s="13">
        <f>IF(B4=0,0,D4/B4)</f>
        <v/>
      </c>
      <c r="F4" s="19" t="n">
        <v>0.045</v>
      </c>
      <c r="G4" s="11" t="n">
        <v>210</v>
      </c>
    </row>
    <row r="5">
      <c r="A5" t="inlineStr">
        <is>
          <t>Personal loan</t>
        </is>
      </c>
      <c r="B5" s="12" t="n">
        <v>6000</v>
      </c>
      <c r="C5" s="12" t="n">
        <v>2400</v>
      </c>
      <c r="D5" s="12">
        <f>B5-C5</f>
        <v/>
      </c>
      <c r="E5" s="14">
        <f>IF(B5=0,0,D5/B5)</f>
        <v/>
      </c>
      <c r="F5" s="20" t="n">
        <v>0.11</v>
      </c>
      <c r="G5" s="12" t="n">
        <v>180</v>
      </c>
    </row>
    <row r="6">
      <c r="A6" s="10" t="inlineStr">
        <is>
          <t>Total</t>
        </is>
      </c>
      <c r="B6" s="11">
        <f>SUM(B2:B5)</f>
        <v/>
      </c>
      <c r="C6" s="11">
        <f>SUM(C2:C5)</f>
        <v/>
      </c>
      <c r="D6" s="11">
        <f>SUM(D2:D5)</f>
        <v/>
      </c>
      <c r="E6" s="13">
        <f>IF(B6=0,0,D6/B6)</f>
        <v/>
      </c>
      <c r="F6" s="10" t="n"/>
      <c r="G6" s="11">
        <f>SUM(G2:G5)</f>
        <v/>
      </c>
    </row>
  </sheetData>
  <conditionalFormatting sqref="E2:E5">
    <cfRule type="dataBar" priority="1">
      <dataBar>
        <cfvo type="min"/>
        <cfvo type="max"/>
        <color rgb="004E9C9C"/>
      </dataBar>
    </cfRule>
  </conditionalFormatting>
  <conditionalFormatting sqref="F2:F5">
    <cfRule type="colorScale" priority="2">
      <colorScale>
        <cfvo type="min"/>
        <cfvo type="percentile" val="50"/>
        <cfvo type="max"/>
        <color rgb="007ED2B6"/>
        <color rgb="00F6E5A8"/>
        <color rgb="00E8A6A6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</cols>
  <sheetData>
    <row r="1">
      <c r="A1" s="9" t="inlineStr">
        <is>
          <t>Account</t>
        </is>
      </c>
      <c r="B1" s="9" t="inlineStr">
        <is>
          <t>Type</t>
        </is>
      </c>
      <c r="C1" s="9" t="inlineStr">
        <is>
          <t>Value</t>
        </is>
      </c>
    </row>
    <row r="2">
      <c r="A2" s="10" t="inlineStr">
        <is>
          <t>Checking</t>
        </is>
      </c>
      <c r="B2" s="10" t="inlineStr">
        <is>
          <t>Asset</t>
        </is>
      </c>
      <c r="C2" s="11" t="n">
        <v>2500</v>
      </c>
    </row>
    <row r="3">
      <c r="A3" t="inlineStr">
        <is>
          <t>Savings</t>
        </is>
      </c>
      <c r="B3" t="inlineStr">
        <is>
          <t>Asset</t>
        </is>
      </c>
      <c r="C3" s="12" t="n">
        <v>9300</v>
      </c>
    </row>
    <row r="4">
      <c r="A4" s="10" t="inlineStr">
        <is>
          <t>Investments</t>
        </is>
      </c>
      <c r="B4" s="10" t="inlineStr">
        <is>
          <t>Asset</t>
        </is>
      </c>
      <c r="C4" s="11" t="n">
        <v>6000</v>
      </c>
    </row>
    <row r="5">
      <c r="A5" t="inlineStr">
        <is>
          <t>Retirement (401k/IRA)</t>
        </is>
      </c>
      <c r="B5" t="inlineStr">
        <is>
          <t>Asset</t>
        </is>
      </c>
      <c r="C5" s="12" t="n">
        <v>18000</v>
      </c>
    </row>
    <row r="6">
      <c r="A6" s="10" t="inlineStr">
        <is>
          <t>Car value</t>
        </is>
      </c>
      <c r="B6" s="10" t="inlineStr">
        <is>
          <t>Asset</t>
        </is>
      </c>
      <c r="C6" s="11" t="n">
        <v>12000</v>
      </c>
    </row>
    <row r="7">
      <c r="A7" t="inlineStr">
        <is>
          <t>Credit card</t>
        </is>
      </c>
      <c r="B7" t="inlineStr">
        <is>
          <t>Liability</t>
        </is>
      </c>
      <c r="C7" s="12" t="n">
        <v>3100</v>
      </c>
    </row>
    <row r="8">
      <c r="A8" s="10" t="inlineStr">
        <is>
          <t>Car loan</t>
        </is>
      </c>
      <c r="B8" s="10" t="inlineStr">
        <is>
          <t>Liability</t>
        </is>
      </c>
      <c r="C8" s="11" t="n">
        <v>11500</v>
      </c>
    </row>
    <row r="9">
      <c r="A9" t="inlineStr">
        <is>
          <t>Student loan</t>
        </is>
      </c>
      <c r="B9" t="inlineStr">
        <is>
          <t>Liability</t>
        </is>
      </c>
      <c r="C9" s="12" t="n">
        <v>15800</v>
      </c>
    </row>
    <row r="10">
      <c r="A10" s="10" t="inlineStr">
        <is>
          <t>Total assets</t>
        </is>
      </c>
      <c r="B10" s="10" t="n"/>
      <c r="C10" s="11">
        <f>SUMIF($B$2:$B$9,"Asset",$C$2:$C$9)</f>
        <v/>
      </c>
    </row>
    <row r="11">
      <c r="A11" t="inlineStr">
        <is>
          <t>Total liabilities</t>
        </is>
      </c>
      <c r="C11" s="12">
        <f>SUMIF($B$2:$B$9,"Liability",$C$2:$C$9)</f>
        <v/>
      </c>
    </row>
    <row r="12">
      <c r="A12" s="10" t="inlineStr">
        <is>
          <t>NET WORTH</t>
        </is>
      </c>
      <c r="B12" s="10" t="n"/>
      <c r="C12" s="11">
        <f>C10-C11</f>
        <v/>
      </c>
    </row>
  </sheetData>
  <conditionalFormatting sqref="C12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9" t="inlineStr">
        <is>
          <t>Metric</t>
        </is>
      </c>
      <c r="B1" s="9" t="inlineStr">
        <is>
          <t>Amount</t>
        </is>
      </c>
    </row>
    <row r="2">
      <c r="A2" s="10" t="inlineStr">
        <is>
          <t>Annual gross income</t>
        </is>
      </c>
      <c r="B2" s="11">
        <f>Paycheck!B2*26</f>
        <v/>
      </c>
    </row>
    <row r="3">
      <c r="A3" t="inlineStr">
        <is>
          <t>Annual take-home (net)</t>
        </is>
      </c>
      <c r="B3" s="12">
        <f>Paycheck!B9*26</f>
        <v/>
      </c>
    </row>
    <row r="4">
      <c r="A4" s="10" t="inlineStr">
        <is>
          <t>Annual savings</t>
        </is>
      </c>
      <c r="B4" s="11">
        <f>SUM(Log!E2:E27)</f>
        <v/>
      </c>
    </row>
    <row r="5">
      <c r="A5" t="inlineStr">
        <is>
          <t>Annual subscriptions</t>
        </is>
      </c>
      <c r="B5" s="12">
        <f>SUM(Subscriptions!C2:C8)</f>
        <v/>
      </c>
    </row>
    <row r="6">
      <c r="A6" s="10" t="inlineStr">
        <is>
          <t>Annual bills</t>
        </is>
      </c>
      <c r="B6" s="11">
        <f>SUM(Bills!C2:C9)*12</f>
        <v/>
      </c>
    </row>
    <row r="7">
      <c r="A7" t="inlineStr">
        <is>
          <t>Total debt remaining</t>
        </is>
      </c>
      <c r="B7" s="12">
        <f>'Debt Payoff'!C6</f>
        <v/>
      </c>
    </row>
    <row r="8">
      <c r="A8" s="10" t="inlineStr">
        <is>
          <t>Total net worth</t>
        </is>
      </c>
      <c r="B8" s="11">
        <f>'Net Worth'!C12</f>
        <v/>
      </c>
    </row>
    <row r="9">
      <c r="A9" t="inlineStr">
        <is>
          <t>Savings rate</t>
        </is>
      </c>
      <c r="B9" s="14">
        <f>IF(B3=0,0,B4/B3)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2:I58"/>
  <sheetViews>
    <sheetView showGridLines="0" workbookViewId="0">
      <selection activeCell="A1" sqref="A1"/>
    </sheetView>
  </sheetViews>
  <sheetFormatPr baseColWidth="8" defaultRowHeight="18" customHeight="1"/>
  <cols>
    <col width="3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</cols>
  <sheetData>
    <row r="2">
      <c r="C2" s="21" t="inlineStr">
        <is>
          <t>M O N E Y   A T   A   G L A N C E</t>
        </is>
      </c>
    </row>
    <row r="3">
      <c r="C3" s="22" t="n"/>
      <c r="D3" s="22" t="n"/>
      <c r="E3" s="22" t="n"/>
      <c r="F3" s="22" t="n"/>
      <c r="G3" s="22" t="n"/>
      <c r="H3" s="22" t="n"/>
      <c r="I3" s="22" t="n"/>
    </row>
    <row r="4">
      <c r="C4" s="23" t="inlineStr">
        <is>
          <t>Take-home / paycheck</t>
        </is>
      </c>
      <c r="D4" s="22" t="n"/>
      <c r="E4" s="24" t="inlineStr">
        <is>
          <t>Avg monthly income</t>
        </is>
      </c>
      <c r="F4" s="22" t="n"/>
      <c r="G4" s="25" t="inlineStr">
        <is>
          <t>Saved / year</t>
        </is>
      </c>
      <c r="H4" s="22" t="n"/>
      <c r="I4" s="24" t="inlineStr">
        <is>
          <t>Savings rate</t>
        </is>
      </c>
    </row>
    <row r="5">
      <c r="C5" s="26">
        <f>Paycheck!B9</f>
        <v/>
      </c>
      <c r="D5" s="22" t="n"/>
      <c r="E5" s="27">
        <f>Paycheck!B9*26/12</f>
        <v/>
      </c>
      <c r="F5" s="22" t="n"/>
      <c r="G5" s="28">
        <f>SUM(Log!E2:E27)</f>
        <v/>
      </c>
      <c r="H5" s="22" t="n"/>
      <c r="I5" s="29">
        <f>IF(SUM(Log!C2:C27)=0,0,SUM(Log!E2:E27)/SUM(Log!C2:C27))</f>
        <v/>
      </c>
    </row>
    <row r="6">
      <c r="C6" s="22" t="n"/>
      <c r="D6" s="22" t="n"/>
      <c r="E6" s="22" t="n"/>
      <c r="F6" s="22" t="n"/>
      <c r="G6" s="22" t="n"/>
      <c r="H6" s="22" t="n"/>
      <c r="I6" s="22" t="n"/>
    </row>
    <row r="7">
      <c r="C7" s="24" t="inlineStr">
        <is>
          <t>Total saved (goals)</t>
        </is>
      </c>
      <c r="D7" s="22" t="n"/>
      <c r="E7" s="25" t="inlineStr">
        <is>
          <t>Goals progress</t>
        </is>
      </c>
      <c r="F7" s="22" t="n"/>
      <c r="G7" s="23" t="inlineStr">
        <is>
          <t>Total debt left</t>
        </is>
      </c>
      <c r="H7" s="22" t="n"/>
      <c r="I7" s="24" t="inlineStr">
        <is>
          <t>Debt paid off</t>
        </is>
      </c>
    </row>
    <row r="8">
      <c r="C8" s="27">
        <f>SUM('Savings Goals'!C2:C6)</f>
        <v/>
      </c>
      <c r="D8" s="22" t="n"/>
      <c r="E8" s="30">
        <f>IF(SUM('Savings Goals'!B2:B6)=0,0,SUM('Savings Goals'!C2:C6)/SUM('Savings Goals'!B2:B6))</f>
        <v/>
      </c>
      <c r="F8" s="22" t="n"/>
      <c r="G8" s="26">
        <f>'Debt Payoff'!C6</f>
        <v/>
      </c>
      <c r="H8" s="22" t="n"/>
      <c r="I8" s="27">
        <f>'Debt Payoff'!D6</f>
        <v/>
      </c>
    </row>
    <row r="9">
      <c r="C9" s="22" t="n"/>
      <c r="D9" s="22" t="n"/>
      <c r="E9" s="22" t="n"/>
      <c r="F9" s="22" t="n"/>
      <c r="G9" s="22" t="n"/>
      <c r="H9" s="22" t="n"/>
      <c r="I9" s="22" t="n"/>
    </row>
    <row r="10">
      <c r="C10" s="25" t="inlineStr">
        <is>
          <t>Net worth</t>
        </is>
      </c>
      <c r="D10" s="22" t="n"/>
      <c r="E10" s="24" t="inlineStr">
        <is>
          <t>Monthly bills</t>
        </is>
      </c>
      <c r="F10" s="22" t="n"/>
      <c r="G10" s="23" t="inlineStr">
        <is>
          <t>Yearly subscriptions</t>
        </is>
      </c>
      <c r="H10" s="22" t="n"/>
      <c r="I10" s="24" t="inlineStr">
        <is>
          <t>Sinking funds saved</t>
        </is>
      </c>
    </row>
    <row r="11">
      <c r="C11" s="28">
        <f>'Net Worth'!C12</f>
        <v/>
      </c>
      <c r="D11" s="22" t="n"/>
      <c r="E11" s="27">
        <f>SUM(Bills!C2:C9)</f>
        <v/>
      </c>
      <c r="F11" s="22" t="n"/>
      <c r="G11" s="26">
        <f>SUM(Subscriptions!C2:C8)</f>
        <v/>
      </c>
      <c r="H11" s="22" t="n"/>
      <c r="I11" s="27">
        <f>SUM('Sinking Funds'!C2:C7)</f>
        <v/>
      </c>
    </row>
    <row r="13">
      <c r="C13" s="31" t="inlineStr">
        <is>
          <t>B U D G E T   B Y   C A T E G O R Y</t>
        </is>
      </c>
    </row>
    <row r="28">
      <c r="C28" s="32" t="inlineStr">
        <is>
          <t>S A V I N G S   G R O W T H   ·   26   P A Y C H E C K S</t>
        </is>
      </c>
    </row>
    <row r="43">
      <c r="C43" s="33" t="inlineStr">
        <is>
          <t>G O A L S   ·   T A R G E T   vs   S A V E D</t>
        </is>
      </c>
    </row>
    <row r="58">
      <c r="C58" s="34" t="inlineStr">
        <is>
          <t>5 0  /  3 0  /  2 0     S P L I T</t>
        </is>
      </c>
    </row>
  </sheetData>
  <mergeCells count="29">
    <mergeCell ref="I5"/>
    <mergeCell ref="C8"/>
    <mergeCell ref="I8"/>
    <mergeCell ref="G4"/>
    <mergeCell ref="I4"/>
    <mergeCell ref="C7"/>
    <mergeCell ref="E7"/>
    <mergeCell ref="I10"/>
    <mergeCell ref="C28:I28"/>
    <mergeCell ref="C13:I13"/>
    <mergeCell ref="G11"/>
    <mergeCell ref="I11"/>
    <mergeCell ref="C5"/>
    <mergeCell ref="C58:I58"/>
    <mergeCell ref="E5"/>
    <mergeCell ref="E8"/>
    <mergeCell ref="C4"/>
    <mergeCell ref="G8"/>
    <mergeCell ref="E4"/>
    <mergeCell ref="G7"/>
    <mergeCell ref="I7"/>
    <mergeCell ref="C10"/>
    <mergeCell ref="E10"/>
    <mergeCell ref="G10"/>
    <mergeCell ref="C43:I43"/>
    <mergeCell ref="C11"/>
    <mergeCell ref="E11"/>
    <mergeCell ref="C2:I2"/>
    <mergeCell ref="G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2026-06-25T09:01:34Z</dcterms:created>
  <dcterms:modified xsi:type="dcterms:W3CDTF">2026-06-25T09:01:34Z</dcterms:modified>
</cp:coreProperties>
</file>